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-Phases" sheetId="1" r:id="rId4"/>
    <sheet state="visible" name="DEL-Deliverables" sheetId="2" r:id="rId5"/>
    <sheet state="visible" name="EPIC - Epics" sheetId="3" r:id="rId6"/>
    <sheet state="visible" name="UG - User Groups" sheetId="4" r:id="rId7"/>
    <sheet state="visible" name="User Stories" sheetId="5" r:id="rId8"/>
    <sheet state="visible" name="ELI Data File" sheetId="6" r:id="rId9"/>
    <sheet state="visible" name="Phase # - Resource Plan" sheetId="7" r:id="rId10"/>
    <sheet state="visible" name="Effort Guide" sheetId="8" r:id="rId11"/>
    <sheet state="visible" name="ROI" sheetId="9" r:id="rId12"/>
  </sheets>
  <definedNames>
    <definedName hidden="1" localSheetId="0" name="_xlnm._FilterDatabase">'PH-Phases'!$A$1:$Z$1000</definedName>
    <definedName hidden="1" localSheetId="1" name="_xlnm._FilterDatabase">'DEL-Deliverables'!$A$1:$Z$1000</definedName>
    <definedName hidden="1" localSheetId="2" name="_xlnm._FilterDatabase">'EPIC - Epics'!$A$1:$Z$1000</definedName>
    <definedName hidden="1" localSheetId="4" name="_xlnm._FilterDatabase">'User Stories'!$A$1:$Z$974</definedName>
  </definedNames>
  <calcPr/>
</workbook>
</file>

<file path=xl/sharedStrings.xml><?xml version="1.0" encoding="utf-8"?>
<sst xmlns="http://schemas.openxmlformats.org/spreadsheetml/2006/main" count="1828" uniqueCount="584">
  <si>
    <t>Phase ID</t>
  </si>
  <si>
    <t>Phase Name</t>
  </si>
  <si>
    <t>Summary</t>
  </si>
  <si>
    <t>Goals</t>
  </si>
  <si>
    <t>Objectives</t>
  </si>
  <si>
    <t>PH-01</t>
  </si>
  <si>
    <t>Full Conversion (Decision-Centric Core)</t>
  </si>
  <si>
    <t>Deliver the core decision engine for contract-first ordering, pricing enforcement, and rule-driven fulfillment to replace spreadsheets and tribal knowledge.</t>
  </si>
  <si>
    <t>Enforce contracts and pricing at order time; Execute compliant fulfillment without manual interpretation</t>
  </si>
  <si>
    <t>Orders are created with correct pricing and terms on first pass; Manual contract validation is eliminated for standard orders; Pricing, approval, and substitution decisions are fully auditable</t>
  </si>
  <si>
    <t>PH-02</t>
  </si>
  <si>
    <t>Automation (Operational Scale)</t>
  </si>
  <si>
    <t>Automate exception handling, approvals, and multi-source fulfillment to increase throughput and reduce operational firefighting.</t>
  </si>
  <si>
    <t>Reduce operational escalations and manual intervention; Increase order throughput without additional headcount</t>
  </si>
  <si>
    <t>Majority of orders process without manual escalation; Automated approvals handle most margin and compliance thresholds; Fulfillment routing executes consistently across warehouses</t>
  </si>
  <si>
    <t>PH-03</t>
  </si>
  <si>
    <t>Scale (Predictability &amp; Expansion)</t>
  </si>
  <si>
    <t>Extend the OMS to support new warehouses, vendors, regulations, and analytics with confidence and predictable financial outcomes.</t>
  </si>
  <si>
    <t>Enable rapid expansion without increasing compliance or margin risk; Improve forecasting accuracy and financial predictability</t>
  </si>
  <si>
    <t>New warehouses and vendors onboard with minimal configuration effort; Demand, margin, and service-level forecasting is reliable; Audit readiness is achieved without manual reconciliation</t>
  </si>
  <si>
    <t>Deliverable ID</t>
  </si>
  <si>
    <t>Strategy Ref</t>
  </si>
  <si>
    <t>Blueprint Ref</t>
  </si>
  <si>
    <t>Phase Ref ID</t>
  </si>
  <si>
    <t>Requirement Type</t>
  </si>
  <si>
    <t>Deliverable Name</t>
  </si>
  <si>
    <t>Deliverable Description</t>
  </si>
  <si>
    <t>Notes</t>
  </si>
  <si>
    <t>Complexity</t>
  </si>
  <si>
    <t>Effort</t>
  </si>
  <si>
    <t>Hours</t>
  </si>
  <si>
    <t>Epic Roll-Up</t>
  </si>
  <si>
    <t>ELI Roll-Up</t>
  </si>
  <si>
    <t>DEL-001</t>
  </si>
  <si>
    <t>CAP-001</t>
  </si>
  <si>
    <t>BP-1765865704672</t>
  </si>
  <si>
    <t>Experience</t>
  </si>
  <si>
    <t>Contract Management</t>
  </si>
  <si>
    <t>Manage customer profiles, contracts, service terms, and compliance requirements so orders are evaluated against the correct agreements and constraints.</t>
  </si>
  <si>
    <t>Medium</t>
  </si>
  <si>
    <t>DEL-002</t>
  </si>
  <si>
    <t>CAP-002</t>
  </si>
  <si>
    <t>Inventory Management</t>
  </si>
  <si>
    <t>Provide real-time visibility and control over inventory across warehouses and vendor sources to support accurate sourcing, allocation, and fulfillment decisions.</t>
  </si>
  <si>
    <t>DEL-003</t>
  </si>
  <si>
    <t>CAP-003</t>
  </si>
  <si>
    <t>Order Management</t>
  </si>
  <si>
    <t>Create, validate, and manage sales orders with contract-first pricing and controlled lifecycle changes enforced at order time.</t>
  </si>
  <si>
    <t>High</t>
  </si>
  <si>
    <t>DEL-004</t>
  </si>
  <si>
    <t>CAP-004</t>
  </si>
  <si>
    <t>Fulfillment Orchestration</t>
  </si>
  <si>
    <t>Orchestrate compliant, rule-driven fulfillment across warehouses and vendors by applying rules for splits, substitutions, and service levels.</t>
  </si>
  <si>
    <t>DEL-005</t>
  </si>
  <si>
    <t>CAP-005</t>
  </si>
  <si>
    <t>Purchase Management</t>
  </si>
  <si>
    <t>Coordinate purchasing from vendors based on demand, inventory gaps, and contract terms to ensure supply decisions align with pricing, compliance, and margin goals.</t>
  </si>
  <si>
    <t>DEL-006</t>
  </si>
  <si>
    <t>CAP-006</t>
  </si>
  <si>
    <t>Workflow</t>
  </si>
  <si>
    <t>Sales Order Processing</t>
  </si>
  <si>
    <t>Create, validate, price, and route sales orders through approvals to a “ready for fulfillment” state with full auditability.</t>
  </si>
  <si>
    <t>DEL-007</t>
  </si>
  <si>
    <t>CAP-007</t>
  </si>
  <si>
    <t>Fulfillment Execution</t>
  </si>
  <si>
    <t>Route fulfillment, allocate inventory, generate pick/pack/ship instructions, and confirm shipment with auditability.</t>
  </si>
  <si>
    <t>DEL-008</t>
  </si>
  <si>
    <t>CAP-008</t>
  </si>
  <si>
    <t>Purchase Replenishment</t>
  </si>
  <si>
    <t>Identify supply gaps, source eligible vendors, create POs with contract terms, receive goods, and close POs.</t>
  </si>
  <si>
    <t>DEL-009</t>
  </si>
  <si>
    <t>FOUNDATIONS</t>
  </si>
  <si>
    <t>Foundation</t>
  </si>
  <si>
    <t>Foundations</t>
  </si>
  <si>
    <t>Infrastructure and foundational systems</t>
  </si>
  <si>
    <t>DEL-010</t>
  </si>
  <si>
    <t>FUNC-031</t>
  </si>
  <si>
    <t>Integration</t>
  </si>
  <si>
    <t>Inventory / WMS Service</t>
  </si>
  <si>
    <t>Source of truth for on-hand/available inventory and the execution surface for reservations and receiving updates.</t>
  </si>
  <si>
    <t>DEL-011</t>
  </si>
  <si>
    <t>FUNC-032</t>
  </si>
  <si>
    <t>Vendor Portal / Supplier API</t>
  </si>
  <si>
    <t>External vendor system(s) providing item availability, lead times, SLAs, and certification status for sourcing and substitution decisions.</t>
  </si>
  <si>
    <t>DEL-012</t>
  </si>
  <si>
    <t>FUNC-033</t>
  </si>
  <si>
    <t>Compliance Rules &amp; Restrictions Service</t>
  </si>
  <si>
    <t>External or internal service that returns compliance rules, geo restrictions, and item-level regulatory attributes for evaluation at order and substitution time.</t>
  </si>
  <si>
    <t>DEL-013</t>
  </si>
  <si>
    <t>FUNC-034</t>
  </si>
  <si>
    <t>Messaging / Event Bus</t>
  </si>
  <si>
    <t>Central eventing platform used to publish OMS domain events for consumers (ERP integration workers, dashboards, notifications).</t>
  </si>
  <si>
    <t>Epic ID</t>
  </si>
  <si>
    <t>Epic Type</t>
  </si>
  <si>
    <t>Epic Name</t>
  </si>
  <si>
    <t>Epic User Story</t>
  </si>
  <si>
    <t>EPIC-001</t>
  </si>
  <si>
    <t>EPIC-002</t>
  </si>
  <si>
    <t>EPIC-003</t>
  </si>
  <si>
    <t>EPIC-004</t>
  </si>
  <si>
    <t>CAP-014</t>
  </si>
  <si>
    <t>Navigation and Component Library</t>
  </si>
  <si>
    <t>Establish the visual framework and reusable building blocks that define the application's user experience across OMS screens.</t>
  </si>
  <si>
    <t>EPIC-005</t>
  </si>
  <si>
    <t>CAP-015</t>
  </si>
  <si>
    <t>User Management</t>
  </si>
  <si>
    <t>Set up systems to onboard, store, and manage user accounts so each OMS user has an identity tied to permissions and settings.</t>
  </si>
  <si>
    <t>EPIC-006</t>
  </si>
  <si>
    <t>CAP-016</t>
  </si>
  <si>
    <t>Authentication &amp; Security</t>
  </si>
  <si>
    <t>Protect OMS access with secure login flows, API protection, and encryption for sensitive contract, pricing, and compliance data.</t>
  </si>
  <si>
    <t>EPIC-007</t>
  </si>
  <si>
    <t>CAP-017</t>
  </si>
  <si>
    <t>Data Management</t>
  </si>
  <si>
    <t>Establish OMS core data models and APIs to support customers, contracts, orders, inventory reservations, fulfillment events, and purchasing.</t>
  </si>
  <si>
    <t>EPIC-008</t>
  </si>
  <si>
    <t>CAP-018</t>
  </si>
  <si>
    <t>Backend Infrastructure</t>
  </si>
  <si>
    <t>Provide core runtime, APIs, messaging, observability, and operational safeguards required to run OMS reliably across workflows and integrations.</t>
  </si>
  <si>
    <t>EPIC-009</t>
  </si>
  <si>
    <t>CAP-019</t>
  </si>
  <si>
    <t>DevOps</t>
  </si>
  <si>
    <t>Enable smooth development, deployment, and maintenance workflows across environments (local, staging, production) for OMS.</t>
  </si>
  <si>
    <t>EPIC-010</t>
  </si>
  <si>
    <t>FUNC-001</t>
  </si>
  <si>
    <t>Customer Management</t>
  </si>
  <si>
    <t>Use Case</t>
  </si>
  <si>
    <t>Manage Customers</t>
  </si>
  <si>
    <t>Create, update, and search customer profiles used for order association and downstream enforcement.</t>
  </si>
  <si>
    <t>EPIC-011</t>
  </si>
  <si>
    <t>FUNC-002</t>
  </si>
  <si>
    <t>Associate Contracts to Customers</t>
  </si>
  <si>
    <t>Link active contracts to customers so pricing, terms, and decisioning are enforced at order time.</t>
  </si>
  <si>
    <t>EPIC-012</t>
  </si>
  <si>
    <t>FUNC-003</t>
  </si>
  <si>
    <t>Manage Customer Compliance Requirements</t>
  </si>
  <si>
    <t>Define and apply customer-specific compliance constraints and maintain an auditable trail of compliance decisions.</t>
  </si>
  <si>
    <t>EPIC-013</t>
  </si>
  <si>
    <t>FUNC-004</t>
  </si>
  <si>
    <t>Manage Inventory</t>
  </si>
  <si>
    <t>View, adjust, and receive inventory to keep system state aligned with physical reality.</t>
  </si>
  <si>
    <t>EPIC-014</t>
  </si>
  <si>
    <t>FUNC-005</t>
  </si>
  <si>
    <t>Track Inventory Availability Across Sources</t>
  </si>
  <si>
    <t>Track inventory signals across warehouses and vendors with clear source attribution and allocatability.</t>
  </si>
  <si>
    <t>EPIC-015</t>
  </si>
  <si>
    <t>FUNC-006</t>
  </si>
  <si>
    <t>Allocate Inventory to Orders</t>
  </si>
  <si>
    <t>Reserve, release, and reallocate inventory to maintain accurate commitments and prevent double-allocation.</t>
  </si>
  <si>
    <t>EPIC-016</t>
  </si>
  <si>
    <t>FUNC-007</t>
  </si>
  <si>
    <t>Create Sales Order</t>
  </si>
  <si>
    <t>Create sales orders tied to customer contract context with completeness validation and pricing preview.</t>
  </si>
  <si>
    <t>EPIC-017</t>
  </si>
  <si>
    <t>FUNC-008</t>
  </si>
  <si>
    <t>Evaluate Contract Pricing &amp; Terms</t>
  </si>
  <si>
    <t>Calculate and enforce contract pricing, tiers, rebates, penalties, and recalculation on changes.</t>
  </si>
  <si>
    <t>EPIC-018</t>
  </si>
  <si>
    <t>FUNC-009</t>
  </si>
  <si>
    <t>Manage Sales Order Lifecycle</t>
  </si>
  <si>
    <t>View, update, and cancel orders with auditable lifecycle state transitions.</t>
  </si>
  <si>
    <t>EPIC-019</t>
  </si>
  <si>
    <t>FUNC-010</t>
  </si>
  <si>
    <t>Approve Order Exceptions &amp; Overrides</t>
  </si>
  <si>
    <t>Route, decide, and audit approvals for threshold breaches and controlled overrides.</t>
  </si>
  <si>
    <t>EPIC-020</t>
  </si>
  <si>
    <t>FUNC-011</t>
  </si>
  <si>
    <t>Execute Fulfillment</t>
  </si>
  <si>
    <t>Assign, pick, pack, and ship with system-generated instructions and dispatch tracking.</t>
  </si>
  <si>
    <t>EPIC-021</t>
  </si>
  <si>
    <t>FUNC-012</t>
  </si>
  <si>
    <t>Determine Fulfillment Routing</t>
  </si>
  <si>
    <t>Select optimal routing across warehouses/vendors, including order splitting and SLA constraints.</t>
  </si>
  <si>
    <t>EPIC-022</t>
  </si>
  <si>
    <t>FUNC-013</t>
  </si>
  <si>
    <t>Validate Regulated Substitutions</t>
  </si>
  <si>
    <t>Propose and validate substitutions against contract permissions, vendor certifications, and regulatory/geographic constraints.</t>
  </si>
  <si>
    <t>EPIC-023</t>
  </si>
  <si>
    <t>FUNC-014</t>
  </si>
  <si>
    <t>Create Purchase Order</t>
  </si>
  <si>
    <t>Create purchase orders from demand signals with approved vendor selection and applied contract terms.</t>
  </si>
  <si>
    <t>EPIC-024</t>
  </si>
  <si>
    <t>FUNC-015</t>
  </si>
  <si>
    <t>Receive Purchase Order</t>
  </si>
  <si>
    <t>Receive goods against purchase orders with discrepancy handling and closure.</t>
  </si>
  <si>
    <t>EPIC-025</t>
  </si>
  <si>
    <t>FUNC-016</t>
  </si>
  <si>
    <t>Source Supply from Vendors</t>
  </si>
  <si>
    <t>Evaluate vendor eligibility and select optimal sources based on compliance, lead times, SLAs, and rules.</t>
  </si>
  <si>
    <t>EPIC-026</t>
  </si>
  <si>
    <t>System</t>
  </si>
  <si>
    <t>EPIC-027</t>
  </si>
  <si>
    <t>EPIC-028</t>
  </si>
  <si>
    <t>EPIC-029</t>
  </si>
  <si>
    <t>User Group ID</t>
  </si>
  <si>
    <t>Name</t>
  </si>
  <si>
    <t>Description</t>
  </si>
  <si>
    <t>Challenges</t>
  </si>
  <si>
    <t>Benefits</t>
  </si>
  <si>
    <t>High Level User Story</t>
  </si>
  <si>
    <t>UG-01</t>
  </si>
  <si>
    <t>Sales / Account Management</t>
  </si>
  <si>
    <t>Owns customer relationships and initiates sales orders, ensuring accurate customer context, pricing visibility, and contract alignment at order time.</t>
  </si>
  <si>
    <t>Create and submit accurate sales orders quickly; Ensure contract pricing is applied correctly on first pass; Respond confidently to customer questions and changes</t>
  </si>
  <si>
    <t>Contract logic historically scattered across spreadsheets and emails; Risk of quoting incorrect pricing or terms; Dependence on Ops or Finance for validations</t>
  </si>
  <si>
    <t>Faster order entry with fewer escalations; Higher order accuracy and customer trust; Clear visibility into pricing and approvals</t>
  </si>
  <si>
    <t>As a/An Sales / Account Management, I want Create and submit accurate sales orders quickly so that Faster order entry with fewer escalations.</t>
  </si>
  <si>
    <t>UG-02</t>
  </si>
  <si>
    <t>Operations / Order Management</t>
  </si>
  <si>
    <t>Orchestrates order execution and exception handling, translating complex business rules into consistent fulfillment outcomes.</t>
  </si>
  <si>
    <t>Execute complex orders with system-driven decisions; Reduce manual intervention and operational firefighting; Ensure routing, sourcing, and substitutions follow rules and SLAs</t>
  </si>
  <si>
    <t>Reliance on tribal knowledge for fulfillment decisions; Multi-source fulfillment complexity; Frequent exceptions requiring rework</t>
  </si>
  <si>
    <t>Repeatable and predictable order execution; Fewer escalations and handoffs; Clear audit trail for operational decisions</t>
  </si>
  <si>
    <t>As a/An Operations / Order Management, I want Execute complex orders with system-driven decisions so that Repeatable and predictable order execution.</t>
  </si>
  <si>
    <t>UG-03</t>
  </si>
  <si>
    <t>Warehouse &amp; Fulfillment</t>
  </si>
  <si>
    <t>Executes picking, packing, shipping, and receiving activities across warehouses using system-generated instructions.</t>
  </si>
  <si>
    <t>Fulfill orders accurately and efficiently; Maintain inventory accuracy through timely updates; Execute substitutions and splits correctly</t>
  </si>
  <si>
    <t>Limited visibility into upstream decision context; Increased error risk from multi-warehouse splits; Inventory discrepancies due to delayed updates</t>
  </si>
  <si>
    <t>Clear pick/pack/ship instructions; Reduced fulfillment errors and rework; Faster throughput and inventory accuracy</t>
  </si>
  <si>
    <t>As a/An Warehouse &amp; Fulfillment, I want Fulfill orders accurately and efficiently so that Clear pick/pack/ship instructions.</t>
  </si>
  <si>
    <t>UG-04</t>
  </si>
  <si>
    <t>Finance / Compliance / Admin</t>
  </si>
  <si>
    <t>Governs pricing, approvals, compliance, and auditability to protect margins, ensure regulatory adherence, and maintain system integrity.</t>
  </si>
  <si>
    <t>Enforce contract pricing, approvals, and overrides; Maintain audit-ready records for pricing and compliance; Govern changes to contracts, rules, and vendors safely</t>
  </si>
  <si>
    <t>Margin erosion detected too late in the process; Manual audit preparation using spreadsheets; Risk when critical logic lives outside core systems</t>
  </si>
  <si>
    <t>Predictable margin protection; Clear, defensible audit trails; Centralized governance of rules and decisions</t>
  </si>
  <si>
    <t>As a/An Finance / Compliance / Admin, I want Enforce contract pricing, approvals, and overrides so that Predictable margin protection.</t>
  </si>
  <si>
    <t>ELI ID</t>
  </si>
  <si>
    <t>deliverable</t>
  </si>
  <si>
    <t>epic</t>
  </si>
  <si>
    <t>as the</t>
  </si>
  <si>
    <t>I want to</t>
  </si>
  <si>
    <t>so i can</t>
  </si>
  <si>
    <t>Phase</t>
  </si>
  <si>
    <t>Tech Notes</t>
  </si>
  <si>
    <t>complexity</t>
  </si>
  <si>
    <t>hours</t>
  </si>
  <si>
    <t>sa</t>
  </si>
  <si>
    <t>qa</t>
  </si>
  <si>
    <t>total</t>
  </si>
  <si>
    <t>ELI-001</t>
  </si>
  <si>
    <t>ELI-002</t>
  </si>
  <si>
    <t>ELI-003</t>
  </si>
  <si>
    <t>ELI-004</t>
  </si>
  <si>
    <t>ELI-005</t>
  </si>
  <si>
    <t>ELI-006</t>
  </si>
  <si>
    <t>ELI-007</t>
  </si>
  <si>
    <t>ELI-008</t>
  </si>
  <si>
    <t>ELI-009</t>
  </si>
  <si>
    <t>ELI-010</t>
  </si>
  <si>
    <t>ELI-011</t>
  </si>
  <si>
    <t>ELI-012</t>
  </si>
  <si>
    <t>ELI-013</t>
  </si>
  <si>
    <t>ELI-014</t>
  </si>
  <si>
    <t>ELI-015</t>
  </si>
  <si>
    <t>ELI-016</t>
  </si>
  <si>
    <t>ELI-017</t>
  </si>
  <si>
    <t>ELI-018</t>
  </si>
  <si>
    <t>ELI-019</t>
  </si>
  <si>
    <t>ELI-020</t>
  </si>
  <si>
    <t>ELI-021</t>
  </si>
  <si>
    <t>ELI-022</t>
  </si>
  <si>
    <t>ELI-023</t>
  </si>
  <si>
    <t>ELI-024</t>
  </si>
  <si>
    <t>ELI-025</t>
  </si>
  <si>
    <t>ELI-026</t>
  </si>
  <si>
    <t>ELI-027</t>
  </si>
  <si>
    <t>ELI-028</t>
  </si>
  <si>
    <t>ELI-029</t>
  </si>
  <si>
    <t>ELI-030</t>
  </si>
  <si>
    <t>ELI-031</t>
  </si>
  <si>
    <t>ELI-032</t>
  </si>
  <si>
    <t>ELI-033</t>
  </si>
  <si>
    <t>ELI-034</t>
  </si>
  <si>
    <t>ELI-035</t>
  </si>
  <si>
    <t>ELI-036</t>
  </si>
  <si>
    <t>ELI-037</t>
  </si>
  <si>
    <t>ELI-038</t>
  </si>
  <si>
    <t>ELI-039</t>
  </si>
  <si>
    <t>ELI-040</t>
  </si>
  <si>
    <t>ELI-041</t>
  </si>
  <si>
    <t>ELI-042</t>
  </si>
  <si>
    <t>ELI-043</t>
  </si>
  <si>
    <t>ELI-044</t>
  </si>
  <si>
    <t>ELI-045</t>
  </si>
  <si>
    <t>ELI-046</t>
  </si>
  <si>
    <t>ELI-047</t>
  </si>
  <si>
    <t>ELI-048</t>
  </si>
  <si>
    <t>ELI-049</t>
  </si>
  <si>
    <t>ELI-050</t>
  </si>
  <si>
    <t>ELI-051</t>
  </si>
  <si>
    <t>ELI-052</t>
  </si>
  <si>
    <t>ELI-053</t>
  </si>
  <si>
    <t>ELI-054</t>
  </si>
  <si>
    <t>ELI-055</t>
  </si>
  <si>
    <t>ELI-056</t>
  </si>
  <si>
    <t>ELI-057</t>
  </si>
  <si>
    <t>ELI-058</t>
  </si>
  <si>
    <t>ELI-059</t>
  </si>
  <si>
    <t>ELI-060</t>
  </si>
  <si>
    <t>ELI-061</t>
  </si>
  <si>
    <t>ELI-062</t>
  </si>
  <si>
    <t>ELI-063</t>
  </si>
  <si>
    <t>ELI-064</t>
  </si>
  <si>
    <t>ELI-065</t>
  </si>
  <si>
    <t>ELI-066</t>
  </si>
  <si>
    <t>ELI-067</t>
  </si>
  <si>
    <t>ELI-068</t>
  </si>
  <si>
    <t>ELI-069</t>
  </si>
  <si>
    <t>ELI-070</t>
  </si>
  <si>
    <t>ELI-071</t>
  </si>
  <si>
    <t>ELI-072</t>
  </si>
  <si>
    <t>ELI-073</t>
  </si>
  <si>
    <t>ELI-074</t>
  </si>
  <si>
    <t>ELI-075</t>
  </si>
  <si>
    <t>ELI-076</t>
  </si>
  <si>
    <t>ELI-077</t>
  </si>
  <si>
    <t>ELI-078</t>
  </si>
  <si>
    <t>ELI-079</t>
  </si>
  <si>
    <t>ELI-080</t>
  </si>
  <si>
    <t>ELI-081</t>
  </si>
  <si>
    <t>ELI-082</t>
  </si>
  <si>
    <t>ELI-083</t>
  </si>
  <si>
    <t>User Group Name</t>
  </si>
  <si>
    <t>ELI Name</t>
  </si>
  <si>
    <t>ELI Type</t>
  </si>
  <si>
    <t>ELI Description</t>
  </si>
  <si>
    <t>Tech Hours</t>
  </si>
  <si>
    <t>SA Hours</t>
  </si>
  <si>
    <t>Create a Customer Profile</t>
  </si>
  <si>
    <t>User Story</t>
  </si>
  <si>
    <t>As a Sales user, I want to create a customer profile so that orders can be associated with the correct legal and billing entity.</t>
  </si>
  <si>
    <t>Update Customer Information</t>
  </si>
  <si>
    <t>As a Sales user, I want to update customer details so changes are reflected in future orders.</t>
  </si>
  <si>
    <t>Search and Retrieve Customers</t>
  </si>
  <si>
    <t>As an Ops user, I want to search customers quickly so I can validate order context without manual lookup.</t>
  </si>
  <si>
    <t>Link Active Contract to Customer</t>
  </si>
  <si>
    <t>As an Admin, I want to associate an active contract to a customer so pricing and terms are enforced at order time.</t>
  </si>
  <si>
    <t>Prevent Orders Without Active Contracts</t>
  </si>
  <si>
    <t>As Finance, I want to prevent orders for customers without active contracts to avoid uncontrolled pricing.</t>
  </si>
  <si>
    <t>View Contract Association History</t>
  </si>
  <si>
    <t>As Finance, I want to view contract assignment history so audits do not rely on spreadsheets.</t>
  </si>
  <si>
    <t>Define Customer Compliance Constraints</t>
  </si>
  <si>
    <t>As a Compliance admin, I want to define customer-specific compliance rules so non-compliant orders are blocked.</t>
  </si>
  <si>
    <t>Apply Compliance Rules at Order Time</t>
  </si>
  <si>
    <t>As Ops, I want compliance rules evaluated automatically so I don’t interpret regulations manually.</t>
  </si>
  <si>
    <t>Audit Customer Compliance Decisions</t>
  </si>
  <si>
    <t>As Compliance, I want an audit trail of compliance decisions so regulatory reviews are defensible.</t>
  </si>
  <si>
    <t>View Real-Time Inventory Levels</t>
  </si>
  <si>
    <t>As an Ops user, I want to view real-time inventory levels so I can make accurate fulfillment decisions.</t>
  </si>
  <si>
    <t>Adjust Inventory Quantity</t>
  </si>
  <si>
    <t>As a Warehouse user, I want to adjust inventory quantities so physical discrepancies are reflected in the system.</t>
  </si>
  <si>
    <t>Receive Inventory Into Stock</t>
  </si>
  <si>
    <t>As a Warehouse user, I want to receive inventory so newly arrived stock becomes available for allocation.</t>
  </si>
  <si>
    <t>View Inventory Across Warehouses</t>
  </si>
  <si>
    <t>As Ops, I want to see inventory across all warehouses so I can plan multi-location fulfillment.</t>
  </si>
  <si>
    <t>Include Vendor-Supplied Availability</t>
  </si>
  <si>
    <t>As Ops, I want vendor-supplied availability included so out-of-stock items can still be sourced compliantly.</t>
  </si>
  <si>
    <t>Distinguish Allocatable vs Informational Stock</t>
  </si>
  <si>
    <t>As Finance, I want to distinguish allocatable inventory from informational stock so financial exposure is controlled.</t>
  </si>
  <si>
    <t>Reserve Inventory for an Order</t>
  </si>
  <si>
    <t>As Ops, I want to reserve inventory so stock is protected for committed orders.</t>
  </si>
  <si>
    <t>Release Inventory on Order Cancellation</t>
  </si>
  <si>
    <t>As Ops, I want reserved inventory released when an order is canceled so stock is reusable.</t>
  </si>
  <si>
    <t>Reallocate Inventory After Changes</t>
  </si>
  <si>
    <t>As Ops, I want inventory reallocated when orders change so fulfillment remains accurate.</t>
  </si>
  <si>
    <t>Create a Sales Order with Contract Context</t>
  </si>
  <si>
    <t>As a Sales user, I want to create a sales order tied to a customer so contract pricing and rules are applied automatically.</t>
  </si>
  <si>
    <t>Validate Order Completeness Before Submission</t>
  </si>
  <si>
    <t>As a Sales user, I want required order data validated so incomplete orders cannot proceed.</t>
  </si>
  <si>
    <t>Preview Pricing Before Order Submission</t>
  </si>
  <si>
    <t>As a Sales user, I want to preview pricing so I can confirm totals before submitting the order.</t>
  </si>
  <si>
    <t>Apply Tiered Pricing Automatically</t>
  </si>
  <si>
    <t>As Finance, I want tiered pricing applied automatically so pricing is consistent and auditable.</t>
  </si>
  <si>
    <t>Enforce Rebates and Penalties</t>
  </si>
  <si>
    <t>As Finance, I want rebates and penalties enforced so margins and commitments are protected.</t>
  </si>
  <si>
    <t>Recalculate Pricing on Order Changes</t>
  </si>
  <si>
    <t>As Ops, I want pricing recalculated when an order changes so pricing remains accurate.</t>
  </si>
  <si>
    <t>View Sales Order Status</t>
  </si>
  <si>
    <t>As Ops, I want to view order status so I can track progress without manual follow-up.</t>
  </si>
  <si>
    <t>Update Sales Order Status</t>
  </si>
  <si>
    <t>As Ops, I want to update order status so downstream processes stay aligned.</t>
  </si>
  <si>
    <t>Cancel a Sales Order</t>
  </si>
  <si>
    <t>As Sales, I want to cancel an order so inventory and commitments are released correctly.</t>
  </si>
  <si>
    <t>Route Orders Requiring Approval</t>
  </si>
  <si>
    <t>As Finance, I want orders that exceed thresholds routed for approval so risk is controlled.</t>
  </si>
  <si>
    <t>Approve or Reject Order Exceptions</t>
  </si>
  <si>
    <t>As Finance, I want to approve or reject exceptions so decisions are explicit and traceable.</t>
  </si>
  <si>
    <t>Audit Order Approval Decisions</t>
  </si>
  <si>
    <t>As Finance, I want an audit trail of approvals so reviews do not rely on email chains.</t>
  </si>
  <si>
    <t>Assign Order to Fulfillment Resource</t>
  </si>
  <si>
    <t>As Ops, I want orders assigned to the appropriate fulfillment resource so execution begins without manual routing.</t>
  </si>
  <si>
    <t>Generate Pick Instructions</t>
  </si>
  <si>
    <t>As a Warehouse user, I want system-generated pick instructions so I can fulfill orders accurately.</t>
  </si>
  <si>
    <t>Pack and Ship Order</t>
  </si>
  <si>
    <t>As a Warehouse user, I want to pack and ship orders so delivery proceeds according to service levels.</t>
  </si>
  <si>
    <t>Select Optimal Fulfillment Path</t>
  </si>
  <si>
    <t>As Ops, I want the system to select the optimal fulfillment path so cost and SLA requirements are met.</t>
  </si>
  <si>
    <t>Split Orders Across Sources</t>
  </si>
  <si>
    <t>As Ops, I want orders split across sources when necessary so commitments are met.</t>
  </si>
  <si>
    <t>Respect Service-Level Constraints</t>
  </si>
  <si>
    <t>As Finance, I want service-level constraints enforced so contractual obligations are met.</t>
  </si>
  <si>
    <t>Propose Allowed Substitutions</t>
  </si>
  <si>
    <t>As Ops, I want the system to propose allowed substitutions so I don’t manually assess eligibility.</t>
  </si>
  <si>
    <t>Validate Vendor Certifications</t>
  </si>
  <si>
    <t>As Compliance, I want vendor certifications validated so non-compliant substitutions are blocked.</t>
  </si>
  <si>
    <t>Enforce Geographic and Regulatory Constraints</t>
  </si>
  <si>
    <t>As Compliance, I want geographic and regulatory rules enforced so orders comply with applicable laws.</t>
  </si>
  <si>
    <t>Generate Purchase Order from Demand</t>
  </si>
  <si>
    <t>As Ops, I want to generate a purchase order from unmet demand so supply gaps are addressed quickly.</t>
  </si>
  <si>
    <t>Select Approved Vendor for Purchase</t>
  </si>
  <si>
    <t>As Finance, I want only approved vendors selectable so compliance and pricing terms are enforced.</t>
  </si>
  <si>
    <t>Apply Contract Terms to Purchase Orders</t>
  </si>
  <si>
    <t>As Finance, I want vendor contract terms applied so purchasing aligns with negotiated pricing and penalties.</t>
  </si>
  <si>
    <t>Receive Goods Against Purchase Order</t>
  </si>
  <si>
    <t>As a Warehouse user, I want to receive goods against a PO so inventory updates accurately.</t>
  </si>
  <si>
    <t>Handle Partial or Over-Receipt</t>
  </si>
  <si>
    <t>As a Warehouse user, I want to record partial or over-receipt so discrepancies are tracked.</t>
  </si>
  <si>
    <t>Close Purchase Order After Receipt</t>
  </si>
  <si>
    <t>As Ops, I want POs closed after receipt so purchasing status remains accurate.</t>
  </si>
  <si>
    <t>Evaluate Vendor Eligibility</t>
  </si>
  <si>
    <t>As Compliance, I want vendor eligibility evaluated so sourcing complies with certifications and risk policies.</t>
  </si>
  <si>
    <t>Compare Vendor Lead Times and SLAs</t>
  </si>
  <si>
    <t>As Ops, I want to compare vendor lead times and SLAs so sourcing decisions meet fulfillment needs.</t>
  </si>
  <si>
    <t>Select Optimal Vendor Source</t>
  </si>
  <si>
    <t>As Ops, I want the system to select the optimal vendor so cost, compliance, and delivery goals are balanced.</t>
  </si>
  <si>
    <t>N/A</t>
  </si>
  <si>
    <t>Create Order Draft</t>
  </si>
  <si>
    <t>Step</t>
  </si>
  <si>
    <t>Capture order header and lines tied to a customer context.</t>
  </si>
  <si>
    <t>Apply Contract Context</t>
  </si>
  <si>
    <t>Resolve active contract(s) and customer compliance requirements for this order.</t>
  </si>
  <si>
    <t>Price and Validate Terms</t>
  </si>
  <si>
    <t>Apply tiered pricing, rebates/penalties, and ensure terms are consistent and auditable.</t>
  </si>
  <si>
    <t>Route for Approval When Needed</t>
  </si>
  <si>
    <t>Identify orders requiring approval and route to Finance/Admin for decision.</t>
  </si>
  <si>
    <t>Release Order to Fulfillment</t>
  </si>
  <si>
    <t>Transition approved orders to a fulfillment-ready state and emit downstream signals.</t>
  </si>
  <si>
    <t>Determine Routing and Splits</t>
  </si>
  <si>
    <t>Choose warehouse/vendor sources and split the order when needed to meet SLAs and rules.</t>
  </si>
  <si>
    <t>Allocate Inventory</t>
  </si>
  <si>
    <t>Reserve inventory for the chosen sources and prevent double-allocation.</t>
  </si>
  <si>
    <t>Validate Substitutions and Compliance</t>
  </si>
  <si>
    <t>Validate substitutions against contracts, certifications, and geographic/regulatory constraints.</t>
  </si>
  <si>
    <t>Generate Pick/Pack/Ship Instructions</t>
  </si>
  <si>
    <t>Produce actionable fulfillment instructions for warehouse execution.</t>
  </si>
  <si>
    <t>Confirm Shipment and Update Status</t>
  </si>
  <si>
    <t>Mark shipments dispatched, attach tracking, and update order lifecycle state.</t>
  </si>
  <si>
    <t>Detect Supply Gap</t>
  </si>
  <si>
    <t>Identify when demand exceeds available inventory and triggers purchasing.</t>
  </si>
  <si>
    <t>Select Eligible Vendor</t>
  </si>
  <si>
    <t>Ensure vendor eligibility and select optimal vendor based on lead times and rules.</t>
  </si>
  <si>
    <t>Create PO with applied vendor contract terms and required delivery dates.</t>
  </si>
  <si>
    <t>Component Library</t>
  </si>
  <si>
    <t>Subsystem</t>
  </si>
  <si>
    <t>Choose and install a design system</t>
  </si>
  <si>
    <t>Global Layout Templates</t>
  </si>
  <si>
    <t>Define dashboard shell, sidebar, headers, and modal containers.</t>
  </si>
  <si>
    <t>Navigation Structure</t>
  </si>
  <si>
    <t>Set up route configuration and page access logic</t>
  </si>
  <si>
    <t>User Schema</t>
  </si>
  <si>
    <t>Define core fields like name, email, auth method, and settings.</t>
  </si>
  <si>
    <t>Profile Management</t>
  </si>
  <si>
    <t>Allow users to update their information, timezone, and avatar.</t>
  </si>
  <si>
    <t>Low</t>
  </si>
  <si>
    <t>Session Tracking</t>
  </si>
  <si>
    <t>Log login history, session duration, and access activity.</t>
  </si>
  <si>
    <t>Auth System</t>
  </si>
  <si>
    <t>Integrate platforms like Auth0, Clerk, or Firebase Auth.</t>
  </si>
  <si>
    <t>API Protection</t>
  </si>
  <si>
    <t>Use JWTs or sessions to authorize requests on protected endpoints.</t>
  </si>
  <si>
    <t>Encryption</t>
  </si>
  <si>
    <t>Encrypt sensitive data both in transit (HTTPS) and at rest (AES).</t>
  </si>
  <si>
    <t>Object Schema Design</t>
  </si>
  <si>
    <t>Model core data object of the system</t>
  </si>
  <si>
    <t>CRUD APIs</t>
  </si>
  <si>
    <t>Expose backend endpoints for accessing and modifying</t>
  </si>
  <si>
    <t>Audit Logging</t>
  </si>
  <si>
    <t>Capture a change log for critical actions like edits, deletions, or merges.</t>
  </si>
  <si>
    <t>API Gateway &amp; Routing</t>
  </si>
  <si>
    <t>Centralize request routing, versioning, throttling, and request/response transformations for REST/GraphQL.</t>
  </si>
  <si>
    <t>Message &amp; Task Queue</t>
  </si>
  <si>
    <t>Support async jobs, scheduled work, and event-driven workflows (e.g., retries, dead-letter queues).</t>
  </si>
  <si>
    <t>Observability</t>
  </si>
  <si>
    <t>Collect logs, metrics, and traces with correlation IDs and alerting thresholds.</t>
  </si>
  <si>
    <t>Environment Configuration</t>
  </si>
  <si>
    <t>Use .env files and secrets management for tokens, keys, and DB strings.</t>
  </si>
  <si>
    <t>CI/CD</t>
  </si>
  <si>
    <t>Deploy with GitHub Actions, Vercel, or custom workflows for build/test/release.</t>
  </si>
  <si>
    <t>Automated Testing</t>
  </si>
  <si>
    <t>Integrate unit, integration, and end-to-end test pipelines.</t>
  </si>
  <si>
    <t>[Solution] Resource Plan</t>
  </si>
  <si>
    <t>Stage</t>
  </si>
  <si>
    <t xml:space="preserve"> Validate</t>
  </si>
  <si>
    <t>Develop</t>
  </si>
  <si>
    <t>Enable</t>
  </si>
  <si>
    <t>Nymbl Resource</t>
  </si>
  <si>
    <t>Total Hours</t>
  </si>
  <si>
    <t>Total Amount</t>
  </si>
  <si>
    <t>Rate</t>
  </si>
  <si>
    <t>M1</t>
  </si>
  <si>
    <t>M2</t>
  </si>
  <si>
    <t>M3</t>
  </si>
  <si>
    <t>M4</t>
  </si>
  <si>
    <t>M5</t>
  </si>
  <si>
    <t>M6</t>
  </si>
  <si>
    <t>M7</t>
  </si>
  <si>
    <t>M8</t>
  </si>
  <si>
    <t>Strategy Partner</t>
  </si>
  <si>
    <t>Technology Partner</t>
  </si>
  <si>
    <t>Solution Architect</t>
  </si>
  <si>
    <t>Product Designer</t>
  </si>
  <si>
    <t>Project Manager</t>
  </si>
  <si>
    <t>Lead Developer</t>
  </si>
  <si>
    <t>Developer</t>
  </si>
  <si>
    <t>AI Engineer</t>
  </si>
  <si>
    <t>Support Engineer</t>
  </si>
  <si>
    <t>Cloud Architect</t>
  </si>
  <si>
    <t>Quality Assurance Manager</t>
  </si>
  <si>
    <t>Documentation Lead</t>
  </si>
  <si>
    <t>Total USD Amount</t>
  </si>
  <si>
    <t>Quarter Totals</t>
  </si>
  <si>
    <t>10% Contigency</t>
  </si>
  <si>
    <t>Yearly Totals</t>
  </si>
  <si>
    <t>Role Stats</t>
  </si>
  <si>
    <t>Average Rate</t>
  </si>
  <si>
    <t>AVG FTE</t>
  </si>
  <si>
    <t>[Client] Time Investment</t>
  </si>
  <si>
    <t>Year</t>
  </si>
  <si>
    <t>Build</t>
  </si>
  <si>
    <t>Plan</t>
  </si>
  <si>
    <t>Validate</t>
  </si>
  <si>
    <t>Quarter</t>
  </si>
  <si>
    <t>Q3</t>
  </si>
  <si>
    <t>Q4</t>
  </si>
  <si>
    <t>Q1</t>
  </si>
  <si>
    <t>Q2</t>
  </si>
  <si>
    <t>A&amp;M Resource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</si>
  <si>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</si>
  <si>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</si>
  <si>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</si>
  <si>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</si>
  <si>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</si>
  <si>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</si>
  <si>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</si>
  <si>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</si>
  <si>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</si>
  <si>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</si>
  <si>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</si>
  <si>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</si>
  <si>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Stakeholder</t>
  </si>
  <si>
    <t>Product Owner</t>
  </si>
  <si>
    <t>Subject Matter Experts</t>
  </si>
  <si>
    <t>-- Case Management</t>
  </si>
  <si>
    <t>-- Reporting and Filing</t>
  </si>
  <si>
    <t>Beta Users</t>
  </si>
  <si>
    <t>Fibonacci Sequence Definition</t>
  </si>
  <si>
    <t>Scale</t>
  </si>
  <si>
    <t xml:space="preserve"> (Trivial):** Tiny tweak (e.g. typo or label change), virtually no uncertainty. </t>
  </si>
  <si>
    <t>(Very Small): Simple story with clear criteria (e.g. add a field), minimal design.</t>
  </si>
  <si>
    <t>(Small): Low‑risk work touching a few components (e.g. new API endpoint).</t>
  </si>
  <si>
    <t>(Medium): Self‑contained feature in one sprint (e.g. profile editing).</t>
  </si>
  <si>
    <t>(Medium–Large): Multi‑scenario story (e.g. onboarding wizard), more testing.</t>
  </si>
  <si>
    <t>(Large/Epic Boundary): Epic‑sized but sprint‑length with risk (e.g. checkout flow).</t>
  </si>
  <si>
    <t>(Very Large Epic): Multi‑sprint initiative needing breakdown (e.g. billing migration).</t>
  </si>
  <si>
    <t>(Huge Initiative): Major multi‑sprint program with dependencies.</t>
  </si>
  <si>
    <t>(Monolithic): Placeholder for anything too big—must be decomposed further.</t>
  </si>
  <si>
    <t>Year 1</t>
  </si>
  <si>
    <t>Year 2</t>
  </si>
  <si>
    <t>Year 3</t>
  </si>
  <si>
    <t>Order Per Rep</t>
  </si>
  <si>
    <t>Orders</t>
  </si>
  <si>
    <t>$ per Order</t>
  </si>
  <si>
    <t>Total $</t>
  </si>
  <si>
    <t>Gross Profit %</t>
  </si>
  <si>
    <t>Total Gross</t>
  </si>
  <si>
    <t>Sales Reps</t>
  </si>
  <si>
    <t>Sales Rep Commision</t>
  </si>
  <si>
    <t>Operation HC</t>
  </si>
  <si>
    <t>OMS Cost</t>
  </si>
  <si>
    <t>Net Profit w OMS</t>
  </si>
  <si>
    <t>Net Profit w/o OMS</t>
  </si>
  <si>
    <t>3 Year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</si>
</sst>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4">
    <font>
      <sz val="10.0"/>
      <color rgb="FF000000"/>
      <name val="Arial"/>
      <scheme val="minor"/>
    </font>
    <font>
      <b/>
      <sz val="11.0"/>
      <color rgb="FF000000"/>
      <name val="Comfortaa"/>
    </font>
    <font>
      <color theme="1"/>
      <name val="Comfortaa"/>
    </font>
    <font>
      <sz val="11.0"/>
      <color rgb="FF000000"/>
      <name val="Comfortaa"/>
    </font>
    <font>
      <b/>
      <sz val="11.0"/>
      <color rgb="FFFFFFFF"/>
      <name val="Comfortaa"/>
    </font>
    <font>
      <color rgb="FFFFFFFF"/>
      <name val="Comfortaa"/>
    </font>
    <font>
      <color theme="1"/>
      <name val="Arial"/>
    </font>
    <font>
      <sz val="11.0"/>
      <color theme="1"/>
      <name val="Comfortaa"/>
    </font>
    <font>
      <color rgb="FFFFFFFF"/>
      <name val="Raleway"/>
    </font>
    <font>
      <color theme="1"/>
      <name val="Raleway"/>
    </font>
    <font>
      <b/>
      <i/>
      <sz val="16.0"/>
      <color rgb="FFFFFFFF"/>
      <name val="Raleway"/>
    </font>
    <font>
      <b/>
      <i/>
      <sz val="20.0"/>
      <color rgb="FFFFFFFF"/>
      <name val="Raleway"/>
    </font>
    <font>
      <b/>
      <i/>
      <sz val="12.0"/>
      <color rgb="FFFFFFFF"/>
      <name val="Raleway"/>
    </font>
    <font>
      <b/>
      <i/>
      <color rgb="FFFFFFFF"/>
      <name val="Raleway"/>
    </font>
    <font>
      <b/>
      <sz val="9.0"/>
      <color rgb="FF000000"/>
      <name val="Raleway"/>
    </font>
    <font>
      <i/>
      <color rgb="FFFFFFFF"/>
      <name val="Raleway"/>
    </font>
    <font>
      <b/>
      <color theme="1"/>
      <name val="Raleway"/>
    </font>
    <font>
      <b/>
      <sz val="12.0"/>
      <color theme="1"/>
      <name val="Raleway"/>
    </font>
    <font>
      <sz val="11.0"/>
      <color theme="1"/>
      <name val="Raleway"/>
    </font>
    <font>
      <b/>
      <sz val="11.0"/>
      <color rgb="FFFFFFFF"/>
      <name val="Raleway"/>
    </font>
    <font/>
    <font>
      <sz val="11.0"/>
      <color rgb="FFFFFFFF"/>
      <name val="Raleway"/>
    </font>
    <font>
      <sz val="18.0"/>
      <color theme="1"/>
      <name val="Raleway"/>
    </font>
    <font>
      <b/>
      <sz val="18.0"/>
      <color rgb="FFFFFFFF"/>
      <name val="Raleway"/>
    </font>
    <font>
      <sz val="18.0"/>
      <color rgb="FFFFFFFF"/>
      <name val="Raleway"/>
    </font>
    <font>
      <sz val="12.0"/>
      <color rgb="FFFFFFFF"/>
      <name val="Raleway"/>
    </font>
    <font>
      <b/>
      <sz val="12.0"/>
      <color rgb="FFFFFFFF"/>
      <name val="Raleway"/>
    </font>
    <font>
      <b/>
      <i/>
      <sz val="18.0"/>
      <color rgb="FFFFFFFF"/>
      <name val="Raleway"/>
    </font>
    <font>
      <i/>
      <sz val="18.0"/>
      <color rgb="FFFFFFFF"/>
      <name val="Raleway"/>
    </font>
    <font>
      <b/>
      <color rgb="FFFFFFFF"/>
      <name val="Raleway"/>
    </font>
    <font>
      <b/>
      <sz val="18.0"/>
      <color rgb="FFFFFFFF"/>
      <name val="Montserrat"/>
    </font>
    <font>
      <color theme="1"/>
      <name val="Montserrat"/>
    </font>
    <font>
      <b/>
      <color theme="1"/>
      <name val="Montserrat"/>
    </font>
    <font>
      <b/>
      <sz val="13.0"/>
      <color rgb="FF38761D"/>
      <name val="Montserrat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E2841"/>
        <bgColor rgb="FF0E2841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ck">
        <color rgb="FF000000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000000"/>
      </right>
      <top style="thin">
        <color rgb="FFB7B7B7"/>
      </top>
      <bottom style="thin">
        <color rgb="FFB7B7B7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FFFFFF"/>
      </right>
    </border>
    <border>
      <left style="medium">
        <color rgb="FFFFFFFF"/>
      </left>
    </border>
    <border>
      <right style="thick">
        <color rgb="FFFFFFFF"/>
      </right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ont="1">
      <alignment horizontal="left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shrinkToFit="0" vertical="center" wrapText="1"/>
    </xf>
    <xf borderId="4" fillId="5" fontId="2" numFmtId="0" xfId="0" applyAlignment="1" applyBorder="1" applyFont="1">
      <alignment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0" fillId="6" fontId="3" numFmtId="0" xfId="0" applyAlignment="1" applyFill="1" applyFont="1">
      <alignment readingOrder="0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shrinkToFit="0" vertical="center" wrapText="1"/>
    </xf>
    <xf borderId="4" fillId="6" fontId="2" numFmtId="0" xfId="0" applyAlignment="1" applyBorder="1" applyFont="1">
      <alignment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5" fillId="6" fontId="2" numFmtId="0" xfId="0" applyAlignment="1" applyBorder="1" applyFon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7" fillId="6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5" fillId="6" fontId="6" numFmtId="0" xfId="0" applyAlignment="1" applyBorder="1" applyFont="1">
      <alignment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7" fontId="8" numFmtId="0" xfId="0" applyAlignment="1" applyFill="1" applyFont="1">
      <alignment shrinkToFit="0" vertical="center" wrapText="1"/>
    </xf>
    <xf borderId="0" fillId="7" fontId="9" numFmtId="0" xfId="0" applyAlignment="1" applyFont="1">
      <alignment shrinkToFit="0" vertical="center" wrapText="1"/>
    </xf>
    <xf borderId="8" fillId="7" fontId="9" numFmtId="0" xfId="0" applyAlignment="1" applyBorder="1" applyFont="1">
      <alignment shrinkToFit="0" vertical="center" wrapText="1"/>
    </xf>
    <xf borderId="0" fillId="7" fontId="10" numFmtId="0" xfId="0" applyAlignment="1" applyFont="1">
      <alignment horizontal="left" shrinkToFit="0" vertical="center" wrapText="1"/>
    </xf>
    <xf borderId="0" fillId="7" fontId="11" numFmtId="0" xfId="0" applyAlignment="1" applyFont="1">
      <alignment horizontal="left" shrinkToFit="0" vertical="center" wrapText="1"/>
    </xf>
    <xf borderId="0" fillId="7" fontId="12" numFmtId="0" xfId="0" applyAlignment="1" applyFont="1">
      <alignment horizontal="right" shrinkToFit="0" vertical="center" wrapText="1"/>
    </xf>
    <xf borderId="0" fillId="7" fontId="13" numFmtId="0" xfId="0" applyAlignment="1" applyFont="1">
      <alignment shrinkToFit="0" vertical="center" wrapText="1"/>
    </xf>
    <xf borderId="0" fillId="7" fontId="13" numFmtId="164" xfId="0" applyAlignment="1" applyFont="1" applyNumberFormat="1">
      <alignment horizontal="right" shrinkToFit="0" vertical="center" wrapText="1"/>
    </xf>
    <xf borderId="9" fillId="8" fontId="14" numFmtId="0" xfId="0" applyAlignment="1" applyBorder="1" applyFill="1" applyFont="1">
      <alignment horizontal="center" shrinkToFit="0" vertical="center" wrapText="1"/>
    </xf>
    <xf borderId="10" fillId="9" fontId="14" numFmtId="0" xfId="0" applyAlignment="1" applyBorder="1" applyFill="1" applyFont="1">
      <alignment horizontal="center" shrinkToFit="0" vertical="center" wrapText="1"/>
    </xf>
    <xf borderId="11" fillId="10" fontId="14" numFmtId="0" xfId="0" applyAlignment="1" applyBorder="1" applyFill="1" applyFont="1">
      <alignment horizontal="center" shrinkToFit="0" vertical="center" wrapText="1"/>
    </xf>
    <xf borderId="0" fillId="10" fontId="14" numFmtId="0" xfId="0" applyAlignment="1" applyFont="1">
      <alignment horizontal="center" shrinkToFit="0" vertical="center" wrapText="1"/>
    </xf>
    <xf borderId="0" fillId="7" fontId="15" numFmtId="0" xfId="0" applyAlignment="1" applyFont="1">
      <alignment shrinkToFit="0" vertical="center" wrapText="1"/>
    </xf>
    <xf borderId="0" fillId="7" fontId="16" numFmtId="0" xfId="0" applyAlignment="1" applyFont="1">
      <alignment shrinkToFit="0" vertical="center" wrapText="1"/>
    </xf>
    <xf borderId="12" fillId="2" fontId="16" numFmtId="0" xfId="0" applyAlignment="1" applyBorder="1" applyFont="1">
      <alignment shrinkToFit="0" vertical="center" wrapText="1"/>
    </xf>
    <xf borderId="13" fillId="2" fontId="16" numFmtId="0" xfId="0" applyAlignment="1" applyBorder="1" applyFont="1">
      <alignment horizontal="center" shrinkToFit="0" vertical="center" wrapText="1"/>
    </xf>
    <xf borderId="14" fillId="2" fontId="16" numFmtId="0" xfId="0" applyAlignment="1" applyBorder="1" applyFont="1">
      <alignment horizontal="center" shrinkToFit="0" vertical="center" wrapText="1"/>
    </xf>
    <xf borderId="13" fillId="2" fontId="16" numFmtId="164" xfId="0" applyAlignment="1" applyBorder="1" applyFont="1" applyNumberFormat="1">
      <alignment horizontal="center" shrinkToFit="0" vertical="center" wrapText="1"/>
    </xf>
    <xf borderId="13" fillId="2" fontId="16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6" numFmtId="164" xfId="0" applyAlignment="1" applyBorder="1" applyFont="1" applyNumberFormat="1">
      <alignment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0" fillId="7" fontId="8" numFmtId="4" xfId="0" applyAlignment="1" applyFont="1" applyNumberFormat="1">
      <alignment shrinkToFit="0" vertical="center" wrapText="1"/>
    </xf>
    <xf borderId="0" fillId="7" fontId="16" numFmtId="0" xfId="0" applyAlignment="1" applyFont="1">
      <alignment horizontal="right" shrinkToFit="0" vertical="center" wrapText="1"/>
    </xf>
    <xf borderId="0" fillId="2" fontId="16" numFmtId="0" xfId="0" applyAlignment="1" applyFont="1">
      <alignment horizontal="right" shrinkToFit="0" vertical="center" wrapText="1"/>
    </xf>
    <xf borderId="19" fillId="2" fontId="16" numFmtId="3" xfId="0" applyAlignment="1" applyBorder="1" applyFont="1" applyNumberFormat="1">
      <alignment horizontal="center" shrinkToFit="0" vertical="center" wrapText="1"/>
    </xf>
    <xf borderId="17" fillId="2" fontId="16" numFmtId="3" xfId="0" applyAlignment="1" applyBorder="1" applyFont="1" applyNumberFormat="1">
      <alignment horizontal="center" shrinkToFit="0" vertical="center" wrapText="1"/>
    </xf>
    <xf borderId="0" fillId="2" fontId="16" numFmtId="0" xfId="0" applyAlignment="1" applyFont="1">
      <alignment horizontal="center" shrinkToFit="0" vertical="center" wrapText="1"/>
    </xf>
    <xf borderId="0" fillId="2" fontId="16" numFmtId="3" xfId="0" applyAlignment="1" applyFont="1" applyNumberFormat="1">
      <alignment shrinkToFit="0" vertical="center" wrapText="1"/>
    </xf>
    <xf borderId="20" fillId="2" fontId="17" numFmtId="164" xfId="0" applyAlignment="1" applyBorder="1" applyFont="1" applyNumberFormat="1">
      <alignment shrinkToFit="0" vertical="center" wrapText="1"/>
    </xf>
    <xf borderId="0" fillId="2" fontId="16" numFmtId="164" xfId="0" applyAlignment="1" applyFont="1" applyNumberFormat="1">
      <alignment horizontal="right" shrinkToFit="0" vertical="center" wrapText="1"/>
    </xf>
    <xf borderId="0" fillId="2" fontId="16" numFmtId="165" xfId="0" applyAlignment="1" applyFont="1" applyNumberFormat="1">
      <alignment horizontal="right" shrinkToFit="0" vertical="center" wrapText="1"/>
    </xf>
    <xf borderId="8" fillId="2" fontId="16" numFmtId="165" xfId="0" applyAlignment="1" applyBorder="1" applyFont="1" applyNumberFormat="1">
      <alignment horizontal="right" shrinkToFit="0" vertical="center" wrapText="1"/>
    </xf>
    <xf borderId="0" fillId="7" fontId="18" numFmtId="0" xfId="0" applyAlignment="1" applyFont="1">
      <alignment shrinkToFit="0" vertical="center" wrapText="1"/>
    </xf>
    <xf borderId="21" fillId="11" fontId="19" numFmtId="165" xfId="0" applyAlignment="1" applyBorder="1" applyFill="1" applyFont="1" applyNumberFormat="1">
      <alignment horizontal="center" shrinkToFit="0" vertical="center" wrapText="1"/>
    </xf>
    <xf borderId="22" fillId="11" fontId="19" numFmtId="165" xfId="0" applyAlignment="1" applyBorder="1" applyFont="1" applyNumberFormat="1">
      <alignment horizontal="center" shrinkToFit="0" vertical="center" wrapText="1"/>
    </xf>
    <xf borderId="21" fillId="0" fontId="20" numFmtId="0" xfId="0" applyBorder="1" applyFont="1"/>
    <xf borderId="0" fillId="11" fontId="19" numFmtId="165" xfId="0" applyAlignment="1" applyFont="1" applyNumberFormat="1">
      <alignment horizontal="center" shrinkToFit="0" vertical="center" wrapText="1"/>
    </xf>
    <xf borderId="0" fillId="7" fontId="19" numFmtId="0" xfId="0" applyAlignment="1" applyFont="1">
      <alignment shrinkToFit="0" vertical="center" wrapText="1"/>
    </xf>
    <xf borderId="0" fillId="7" fontId="21" numFmtId="0" xfId="0" applyAlignment="1" applyFont="1">
      <alignment shrinkToFit="0" vertical="center" wrapText="1"/>
    </xf>
    <xf borderId="0" fillId="7" fontId="22" numFmtId="0" xfId="0" applyAlignment="1" applyFont="1">
      <alignment shrinkToFit="0" vertical="center" wrapText="1"/>
    </xf>
    <xf borderId="0" fillId="12" fontId="23" numFmtId="165" xfId="0" applyAlignment="1" applyFill="1" applyFont="1" applyNumberFormat="1">
      <alignment horizontal="center" shrinkToFit="0" vertical="center" wrapText="1"/>
    </xf>
    <xf borderId="23" fillId="0" fontId="20" numFmtId="0" xfId="0" applyBorder="1" applyFont="1"/>
    <xf borderId="0" fillId="7" fontId="23" numFmtId="0" xfId="0" applyAlignment="1" applyFont="1">
      <alignment shrinkToFit="0" vertical="center" wrapText="1"/>
    </xf>
    <xf borderId="0" fillId="7" fontId="24" numFmtId="0" xfId="0" applyAlignment="1" applyFont="1">
      <alignment shrinkToFit="0" vertical="center" wrapText="1"/>
    </xf>
    <xf borderId="0" fillId="7" fontId="25" numFmtId="0" xfId="0" applyAlignment="1" applyFont="1">
      <alignment horizontal="center" shrinkToFit="0" vertical="center" wrapText="1"/>
    </xf>
    <xf borderId="0" fillId="7" fontId="25" numFmtId="164" xfId="0" applyAlignment="1" applyFont="1" applyNumberFormat="1">
      <alignment horizontal="center" shrinkToFit="0" vertical="center" wrapText="1"/>
    </xf>
    <xf borderId="0" fillId="7" fontId="26" numFmtId="0" xfId="0" applyAlignment="1" applyFont="1">
      <alignment horizontal="right" shrinkToFit="0" vertical="center" wrapText="1"/>
    </xf>
    <xf borderId="0" fillId="7" fontId="26" numFmtId="0" xfId="0" applyAlignment="1" applyFont="1">
      <alignment shrinkToFit="0" vertical="center" wrapText="1"/>
    </xf>
    <xf borderId="0" fillId="7" fontId="26" numFmtId="1" xfId="0" applyAlignment="1" applyFont="1" applyNumberFormat="1">
      <alignment shrinkToFit="0" vertical="center" wrapText="1"/>
    </xf>
    <xf borderId="0" fillId="7" fontId="27" numFmtId="164" xfId="0" applyAlignment="1" applyFont="1" applyNumberFormat="1">
      <alignment horizontal="right" shrinkToFit="0" vertical="center" wrapText="1"/>
    </xf>
    <xf borderId="0" fillId="12" fontId="23" numFmtId="0" xfId="0" applyAlignment="1" applyFont="1">
      <alignment horizontal="center" shrinkToFit="0" vertical="center" wrapText="1"/>
    </xf>
    <xf borderId="0" fillId="7" fontId="28" numFmtId="0" xfId="0" applyAlignment="1" applyFont="1">
      <alignment shrinkToFit="0" vertical="center" wrapText="1"/>
    </xf>
    <xf borderId="24" fillId="0" fontId="20" numFmtId="0" xfId="0" applyBorder="1" applyFont="1"/>
    <xf borderId="25" fillId="0" fontId="20" numFmtId="0" xfId="0" applyBorder="1" applyFont="1"/>
    <xf borderId="25" fillId="13" fontId="14" numFmtId="0" xfId="0" applyAlignment="1" applyBorder="1" applyFill="1" applyFont="1">
      <alignment horizontal="center" shrinkToFit="0" vertical="center" wrapText="1"/>
    </xf>
    <xf borderId="10" fillId="8" fontId="14" numFmtId="0" xfId="0" applyAlignment="1" applyBorder="1" applyFont="1">
      <alignment horizontal="center" shrinkToFit="0" vertical="center" wrapText="1"/>
    </xf>
    <xf borderId="0" fillId="9" fontId="14" numFmtId="0" xfId="0" applyAlignment="1" applyFont="1">
      <alignment horizontal="center" shrinkToFit="0" vertical="center" wrapText="1"/>
    </xf>
    <xf borderId="0" fillId="7" fontId="13" numFmtId="164" xfId="0" applyAlignment="1" applyFont="1" applyNumberFormat="1">
      <alignment horizontal="center" shrinkToFit="0" vertical="center" wrapText="1"/>
    </xf>
    <xf borderId="21" fillId="11" fontId="29" numFmtId="0" xfId="0" applyAlignment="1" applyBorder="1" applyFont="1">
      <alignment horizontal="center" shrinkToFit="0" vertical="center" wrapText="1"/>
    </xf>
    <xf borderId="22" fillId="11" fontId="29" numFmtId="0" xfId="0" applyAlignment="1" applyBorder="1" applyFont="1">
      <alignment horizontal="center" shrinkToFit="0" vertical="center" wrapText="1"/>
    </xf>
    <xf borderId="0" fillId="11" fontId="29" numFmtId="0" xfId="0" applyAlignment="1" applyFont="1">
      <alignment horizontal="center" shrinkToFit="0" vertical="center" wrapText="1"/>
    </xf>
    <xf borderId="12" fillId="0" fontId="20" numFmtId="0" xfId="0" applyBorder="1" applyFont="1"/>
    <xf borderId="0" fillId="0" fontId="9" numFmtId="0" xfId="0" applyAlignment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19" fillId="2" fontId="16" numFmtId="3" xfId="0" applyAlignment="1" applyBorder="1" applyFont="1" applyNumberFormat="1">
      <alignment shrinkToFit="0" vertical="center" wrapText="1"/>
    </xf>
    <xf borderId="17" fillId="0" fontId="20" numFmtId="0" xfId="0" applyBorder="1" applyFont="1"/>
    <xf borderId="21" fillId="11" fontId="19" numFmtId="0" xfId="0" applyAlignment="1" applyBorder="1" applyFont="1">
      <alignment horizontal="center" shrinkToFit="0" vertical="center" wrapText="1"/>
    </xf>
    <xf borderId="22" fillId="11" fontId="19" numFmtId="0" xfId="0" applyAlignment="1" applyBorder="1" applyFont="1">
      <alignment horizontal="center" shrinkToFit="0" vertical="center" wrapText="1"/>
    </xf>
    <xf borderId="0" fillId="11" fontId="19" numFmtId="0" xfId="0" applyAlignment="1" applyFont="1">
      <alignment horizontal="center" shrinkToFit="0" vertical="center" wrapText="1"/>
    </xf>
    <xf borderId="0" fillId="7" fontId="30" numFmtId="0" xfId="0" applyAlignment="1" applyFont="1">
      <alignment shrinkToFit="0" vertical="center" wrapText="1"/>
    </xf>
    <xf borderId="26" fillId="3" fontId="16" numFmtId="0" xfId="0" applyAlignment="1" applyBorder="1" applyFont="1">
      <alignment shrinkToFit="0" vertical="center" wrapText="1"/>
    </xf>
    <xf borderId="27" fillId="3" fontId="16" numFmtId="0" xfId="0" applyAlignment="1" applyBorder="1" applyFont="1">
      <alignment horizontal="center" shrinkToFit="0" vertical="center" wrapText="1"/>
    </xf>
    <xf borderId="0" fillId="7" fontId="16" numFmtId="0" xfId="0" applyAlignment="1" applyFont="1">
      <alignment horizontal="center" shrinkToFit="0" vertical="center" wrapText="1"/>
    </xf>
    <xf borderId="17" fillId="0" fontId="16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shrinkToFit="0" vertical="center" wrapText="1"/>
    </xf>
    <xf borderId="0" fillId="0" fontId="31" numFmtId="0" xfId="0" applyAlignment="1" applyFont="1">
      <alignment horizontal="left"/>
    </xf>
    <xf borderId="0" fillId="0" fontId="32" numFmtId="0" xfId="0" applyAlignment="1" applyFont="1">
      <alignment horizontal="right" readingOrder="0"/>
    </xf>
    <xf borderId="0" fillId="0" fontId="31" numFmtId="0" xfId="0" applyFont="1"/>
    <xf borderId="0" fillId="0" fontId="31" numFmtId="0" xfId="0" applyAlignment="1" applyFont="1">
      <alignment readingOrder="0"/>
    </xf>
    <xf borderId="0" fillId="0" fontId="31" numFmtId="0" xfId="0" applyAlignment="1" applyFont="1">
      <alignment horizontal="left" readingOrder="0"/>
    </xf>
    <xf borderId="0" fillId="10" fontId="31" numFmtId="0" xfId="0" applyAlignment="1" applyFont="1">
      <alignment horizontal="right" readingOrder="0"/>
    </xf>
    <xf borderId="0" fillId="0" fontId="31" numFmtId="0" xfId="0" applyAlignment="1" applyFont="1">
      <alignment horizontal="right"/>
    </xf>
    <xf borderId="0" fillId="0" fontId="31" numFmtId="0" xfId="0" applyAlignment="1" applyFont="1">
      <alignment horizontal="right" readingOrder="0"/>
    </xf>
    <xf borderId="0" fillId="0" fontId="31" numFmtId="165" xfId="0" applyAlignment="1" applyFont="1" applyNumberFormat="1">
      <alignment horizontal="right"/>
    </xf>
    <xf borderId="0" fillId="0" fontId="31" numFmtId="165" xfId="0" applyFont="1" applyNumberFormat="1"/>
    <xf borderId="0" fillId="0" fontId="31" numFmtId="164" xfId="0" applyAlignment="1" applyFont="1" applyNumberFormat="1">
      <alignment horizontal="right"/>
    </xf>
    <xf borderId="0" fillId="0" fontId="31" numFmtId="164" xfId="0" applyFont="1" applyNumberFormat="1"/>
    <xf borderId="0" fillId="0" fontId="31" numFmtId="164" xfId="0" applyAlignment="1" applyFont="1" applyNumberFormat="1">
      <alignment horizontal="right" readingOrder="0"/>
    </xf>
    <xf borderId="0" fillId="0" fontId="31" numFmtId="164" xfId="0" applyAlignment="1" applyFont="1" applyNumberFormat="1">
      <alignment readingOrder="0"/>
    </xf>
    <xf borderId="1" fillId="0" fontId="32" numFmtId="0" xfId="0" applyAlignment="1" applyBorder="1" applyFont="1">
      <alignment horizontal="right" readingOrder="0"/>
    </xf>
    <xf borderId="1" fillId="0" fontId="31" numFmtId="0" xfId="0" applyAlignment="1" applyBorder="1" applyFont="1">
      <alignment horizontal="left" readingOrder="0"/>
    </xf>
    <xf borderId="1" fillId="0" fontId="31" numFmtId="164" xfId="0" applyAlignment="1" applyBorder="1" applyFont="1" applyNumberFormat="1">
      <alignment horizontal="right"/>
    </xf>
    <xf borderId="1" fillId="0" fontId="31" numFmtId="164" xfId="0" applyBorder="1" applyFont="1" applyNumberFormat="1"/>
    <xf borderId="1" fillId="0" fontId="32" numFmtId="164" xfId="0" applyBorder="1" applyFont="1" applyNumberFormat="1"/>
    <xf borderId="1" fillId="0" fontId="33" numFmtId="164" xfId="0" applyBorder="1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114300</xdr:rowOff>
    </xdr:from>
    <xdr:ext cx="1238250" cy="419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76200</xdr:rowOff>
    </xdr:from>
    <xdr:ext cx="1238250" cy="419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5"/>
    <col customWidth="1" min="3" max="5" width="43.5"/>
    <col customWidth="1" min="6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3.88"/>
    <col customWidth="1" min="3" max="3" width="17.63"/>
    <col customWidth="1" min="4" max="4" width="13.13"/>
    <col customWidth="1" min="5" max="5" width="21.75"/>
    <col customWidth="1" min="6" max="6" width="36.63"/>
    <col customWidth="1" min="7" max="7" width="40.38"/>
    <col customWidth="1" min="8" max="8" width="29.5"/>
    <col customWidth="1" min="9" max="9" width="15.13"/>
    <col customWidth="1" min="12" max="12" width="9.88"/>
  </cols>
  <sheetData>
    <row r="1" ht="30.75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5" t="s">
        <v>26</v>
      </c>
      <c r="H1" s="1" t="s">
        <v>27</v>
      </c>
      <c r="I1" s="1" t="s">
        <v>28</v>
      </c>
      <c r="J1" s="1" t="s">
        <v>29</v>
      </c>
      <c r="K1" s="6" t="s">
        <v>30</v>
      </c>
      <c r="L1" s="7" t="s">
        <v>31</v>
      </c>
      <c r="M1" s="7" t="s">
        <v>32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33</v>
      </c>
      <c r="B2" s="3" t="s">
        <v>34</v>
      </c>
      <c r="C2" s="3" t="s">
        <v>35</v>
      </c>
      <c r="D2" s="3" t="s">
        <v>5</v>
      </c>
      <c r="E2" s="3" t="s">
        <v>36</v>
      </c>
      <c r="F2" s="3" t="s">
        <v>37</v>
      </c>
      <c r="G2" s="9" t="s">
        <v>38</v>
      </c>
      <c r="H2" s="10"/>
      <c r="I2" s="11" t="s">
        <v>39</v>
      </c>
      <c r="J2" s="11">
        <v>8.0</v>
      </c>
      <c r="K2" s="12">
        <v>120.0</v>
      </c>
      <c r="L2" s="4">
        <v>3.0</v>
      </c>
      <c r="M2" s="4">
        <v>9.0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40</v>
      </c>
      <c r="B3" s="3" t="s">
        <v>41</v>
      </c>
      <c r="C3" s="3" t="s">
        <v>35</v>
      </c>
      <c r="D3" s="3" t="s">
        <v>5</v>
      </c>
      <c r="E3" s="3" t="s">
        <v>36</v>
      </c>
      <c r="F3" s="3" t="s">
        <v>42</v>
      </c>
      <c r="G3" s="9" t="s">
        <v>43</v>
      </c>
      <c r="H3" s="10"/>
      <c r="I3" s="11" t="s">
        <v>39</v>
      </c>
      <c r="J3" s="11">
        <v>8.0</v>
      </c>
      <c r="K3" s="12">
        <v>120.0</v>
      </c>
      <c r="L3" s="4">
        <v>3.0</v>
      </c>
      <c r="M3" s="4">
        <v>9.0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44</v>
      </c>
      <c r="B4" s="3" t="s">
        <v>45</v>
      </c>
      <c r="C4" s="3" t="s">
        <v>35</v>
      </c>
      <c r="D4" s="3" t="s">
        <v>5</v>
      </c>
      <c r="E4" s="3" t="s">
        <v>36</v>
      </c>
      <c r="F4" s="3" t="s">
        <v>46</v>
      </c>
      <c r="G4" s="9" t="s">
        <v>47</v>
      </c>
      <c r="H4" s="10"/>
      <c r="I4" s="11" t="s">
        <v>48</v>
      </c>
      <c r="J4" s="11">
        <v>13.0</v>
      </c>
      <c r="K4" s="12">
        <v>160.0</v>
      </c>
      <c r="L4" s="4">
        <v>4.0</v>
      </c>
      <c r="M4" s="4">
        <v>12.0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49</v>
      </c>
      <c r="B5" s="3" t="s">
        <v>50</v>
      </c>
      <c r="C5" s="3" t="s">
        <v>35</v>
      </c>
      <c r="D5" s="3" t="s">
        <v>5</v>
      </c>
      <c r="E5" s="3" t="s">
        <v>36</v>
      </c>
      <c r="F5" s="3" t="s">
        <v>51</v>
      </c>
      <c r="G5" s="9" t="s">
        <v>52</v>
      </c>
      <c r="H5" s="10"/>
      <c r="I5" s="11" t="s">
        <v>48</v>
      </c>
      <c r="J5" s="11">
        <v>13.0</v>
      </c>
      <c r="K5" s="12">
        <v>160.0</v>
      </c>
      <c r="L5" s="4">
        <v>3.0</v>
      </c>
      <c r="M5" s="4">
        <v>9.0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53</v>
      </c>
      <c r="B6" s="3" t="s">
        <v>54</v>
      </c>
      <c r="C6" s="3" t="s">
        <v>35</v>
      </c>
      <c r="D6" s="3" t="s">
        <v>5</v>
      </c>
      <c r="E6" s="3" t="s">
        <v>36</v>
      </c>
      <c r="F6" s="3" t="s">
        <v>55</v>
      </c>
      <c r="G6" s="9" t="s">
        <v>56</v>
      </c>
      <c r="H6" s="10"/>
      <c r="I6" s="11" t="s">
        <v>39</v>
      </c>
      <c r="J6" s="11">
        <v>8.0</v>
      </c>
      <c r="K6" s="12">
        <v>100.0</v>
      </c>
      <c r="L6" s="4">
        <v>3.0</v>
      </c>
      <c r="M6" s="4">
        <v>9.0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57</v>
      </c>
      <c r="B7" s="3" t="s">
        <v>58</v>
      </c>
      <c r="C7" s="3" t="s">
        <v>35</v>
      </c>
      <c r="D7" s="3" t="s">
        <v>5</v>
      </c>
      <c r="E7" s="3" t="s">
        <v>59</v>
      </c>
      <c r="F7" s="3" t="s">
        <v>60</v>
      </c>
      <c r="G7" s="9" t="s">
        <v>61</v>
      </c>
      <c r="H7" s="10"/>
      <c r="I7" s="11" t="s">
        <v>48</v>
      </c>
      <c r="J7" s="11">
        <v>13.0</v>
      </c>
      <c r="K7" s="12">
        <v>140.0</v>
      </c>
      <c r="L7" s="4">
        <v>1.0</v>
      </c>
      <c r="M7" s="4">
        <v>5.0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62</v>
      </c>
      <c r="B8" s="3" t="s">
        <v>63</v>
      </c>
      <c r="C8" s="3" t="s">
        <v>35</v>
      </c>
      <c r="D8" s="3" t="s">
        <v>5</v>
      </c>
      <c r="E8" s="3" t="s">
        <v>59</v>
      </c>
      <c r="F8" s="3" t="s">
        <v>64</v>
      </c>
      <c r="G8" s="9" t="s">
        <v>65</v>
      </c>
      <c r="H8" s="10"/>
      <c r="I8" s="11" t="s">
        <v>48</v>
      </c>
      <c r="J8" s="11">
        <v>13.0</v>
      </c>
      <c r="K8" s="12">
        <v>100.0</v>
      </c>
      <c r="L8" s="4">
        <v>1.0</v>
      </c>
      <c r="M8" s="4">
        <v>5.0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66</v>
      </c>
      <c r="B9" s="3" t="s">
        <v>67</v>
      </c>
      <c r="C9" s="3" t="s">
        <v>35</v>
      </c>
      <c r="D9" s="3" t="s">
        <v>5</v>
      </c>
      <c r="E9" s="3" t="s">
        <v>59</v>
      </c>
      <c r="F9" s="3" t="s">
        <v>68</v>
      </c>
      <c r="G9" s="9" t="s">
        <v>69</v>
      </c>
      <c r="H9" s="10"/>
      <c r="I9" s="11" t="s">
        <v>39</v>
      </c>
      <c r="J9" s="11">
        <v>8.0</v>
      </c>
      <c r="K9" s="12">
        <v>60.0</v>
      </c>
      <c r="L9" s="4">
        <v>1.0</v>
      </c>
      <c r="M9" s="4">
        <v>3.0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70</v>
      </c>
      <c r="B10" s="3" t="s">
        <v>71</v>
      </c>
      <c r="C10" s="3" t="s">
        <v>35</v>
      </c>
      <c r="D10" s="3" t="s">
        <v>5</v>
      </c>
      <c r="E10" s="3" t="s">
        <v>72</v>
      </c>
      <c r="F10" s="3" t="s">
        <v>73</v>
      </c>
      <c r="G10" s="9" t="s">
        <v>74</v>
      </c>
      <c r="H10" s="10"/>
      <c r="I10" s="10"/>
      <c r="J10" s="10"/>
      <c r="K10" s="12">
        <v>160.0</v>
      </c>
      <c r="L10" s="4">
        <v>6.0</v>
      </c>
      <c r="M10" s="4">
        <v>18.0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75</v>
      </c>
      <c r="B11" s="3" t="s">
        <v>76</v>
      </c>
      <c r="C11" s="3" t="s">
        <v>35</v>
      </c>
      <c r="D11" s="3" t="s">
        <v>5</v>
      </c>
      <c r="E11" s="3" t="s">
        <v>77</v>
      </c>
      <c r="F11" s="3" t="s">
        <v>78</v>
      </c>
      <c r="G11" s="9" t="s">
        <v>79</v>
      </c>
      <c r="H11" s="10"/>
      <c r="I11" s="11" t="s">
        <v>48</v>
      </c>
      <c r="J11" s="11">
        <v>8.0</v>
      </c>
      <c r="K11" s="12">
        <v>40.0</v>
      </c>
      <c r="L11" s="4">
        <v>1.0</v>
      </c>
      <c r="M11" s="4">
        <v>1.0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80</v>
      </c>
      <c r="B12" s="3" t="s">
        <v>81</v>
      </c>
      <c r="C12" s="3" t="s">
        <v>35</v>
      </c>
      <c r="D12" s="3" t="s">
        <v>5</v>
      </c>
      <c r="E12" s="3" t="s">
        <v>77</v>
      </c>
      <c r="F12" s="3" t="s">
        <v>82</v>
      </c>
      <c r="G12" s="9" t="s">
        <v>83</v>
      </c>
      <c r="H12" s="10"/>
      <c r="I12" s="11" t="s">
        <v>48</v>
      </c>
      <c r="J12" s="11">
        <v>8.0</v>
      </c>
      <c r="K12" s="12">
        <v>60.0</v>
      </c>
      <c r="L12" s="4">
        <v>1.0</v>
      </c>
      <c r="M12" s="4">
        <v>1.0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84</v>
      </c>
      <c r="B13" s="3" t="s">
        <v>85</v>
      </c>
      <c r="C13" s="3" t="s">
        <v>35</v>
      </c>
      <c r="D13" s="3" t="s">
        <v>5</v>
      </c>
      <c r="E13" s="3" t="s">
        <v>77</v>
      </c>
      <c r="F13" s="3" t="s">
        <v>86</v>
      </c>
      <c r="G13" s="9" t="s">
        <v>87</v>
      </c>
      <c r="H13" s="10"/>
      <c r="I13" s="11" t="s">
        <v>48</v>
      </c>
      <c r="J13" s="11">
        <v>8.0</v>
      </c>
      <c r="K13" s="12">
        <v>60.0</v>
      </c>
      <c r="L13" s="4">
        <v>1.0</v>
      </c>
      <c r="M13" s="4">
        <v>1.0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88</v>
      </c>
      <c r="B14" s="3" t="s">
        <v>89</v>
      </c>
      <c r="C14" s="3" t="s">
        <v>35</v>
      </c>
      <c r="D14" s="3" t="s">
        <v>5</v>
      </c>
      <c r="E14" s="3" t="s">
        <v>77</v>
      </c>
      <c r="F14" s="3" t="s">
        <v>90</v>
      </c>
      <c r="G14" s="9" t="s">
        <v>91</v>
      </c>
      <c r="H14" s="10"/>
      <c r="I14" s="11" t="s">
        <v>39</v>
      </c>
      <c r="J14" s="11">
        <v>5.0</v>
      </c>
      <c r="K14" s="12">
        <v>40.0</v>
      </c>
      <c r="L14" s="4">
        <v>1.0</v>
      </c>
      <c r="M14" s="4">
        <v>1.0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3"/>
      <c r="B15" s="13"/>
      <c r="C15" s="13"/>
      <c r="D15" s="13"/>
      <c r="E15" s="13"/>
      <c r="F15" s="13"/>
      <c r="G15" s="14"/>
      <c r="H15" s="10"/>
      <c r="I15" s="10"/>
      <c r="J15" s="10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3"/>
      <c r="B16" s="13"/>
      <c r="C16" s="13"/>
      <c r="D16" s="13"/>
      <c r="E16" s="13"/>
      <c r="F16" s="13"/>
      <c r="G16" s="14"/>
      <c r="H16" s="10"/>
      <c r="I16" s="10"/>
      <c r="J16" s="10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3"/>
      <c r="B17" s="13"/>
      <c r="C17" s="13"/>
      <c r="D17" s="13"/>
      <c r="E17" s="13"/>
      <c r="F17" s="13"/>
      <c r="G17" s="14"/>
      <c r="H17" s="10"/>
      <c r="I17" s="10"/>
      <c r="J17" s="10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3"/>
      <c r="B18" s="13"/>
      <c r="C18" s="13"/>
      <c r="D18" s="13"/>
      <c r="E18" s="13"/>
      <c r="F18" s="13"/>
      <c r="G18" s="14"/>
      <c r="H18" s="10"/>
      <c r="I18" s="10"/>
      <c r="J18" s="10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3"/>
      <c r="B19" s="13"/>
      <c r="C19" s="13"/>
      <c r="D19" s="13"/>
      <c r="E19" s="13"/>
      <c r="F19" s="13"/>
      <c r="G19" s="14"/>
      <c r="H19" s="10"/>
      <c r="I19" s="10"/>
      <c r="J19" s="10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3"/>
      <c r="B20" s="13"/>
      <c r="C20" s="13"/>
      <c r="D20" s="13"/>
      <c r="E20" s="13"/>
      <c r="F20" s="13"/>
      <c r="G20" s="14"/>
      <c r="H20" s="10"/>
      <c r="I20" s="10"/>
      <c r="J20" s="10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/>
      <c r="B21" s="13"/>
      <c r="C21" s="13"/>
      <c r="D21" s="13"/>
      <c r="E21" s="13"/>
      <c r="F21" s="13"/>
      <c r="G21" s="14"/>
      <c r="H21" s="10"/>
      <c r="I21" s="10"/>
      <c r="J21" s="10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16"/>
      <c r="H22" s="15"/>
      <c r="I22" s="15"/>
      <c r="J22" s="15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16"/>
      <c r="H23" s="15"/>
      <c r="I23" s="15"/>
      <c r="J23" s="15"/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16"/>
      <c r="H24" s="15"/>
      <c r="I24" s="15"/>
      <c r="J24" s="15"/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16"/>
      <c r="H25" s="15"/>
      <c r="I25" s="15"/>
      <c r="J25" s="15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16"/>
      <c r="H26" s="15"/>
      <c r="I26" s="15"/>
      <c r="J26" s="15"/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16"/>
      <c r="H27" s="15"/>
      <c r="I27" s="15"/>
      <c r="J27" s="15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16"/>
      <c r="H28" s="15"/>
      <c r="I28" s="15"/>
      <c r="J28" s="15"/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16"/>
      <c r="H29" s="15"/>
      <c r="I29" s="15"/>
      <c r="J29" s="15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16"/>
      <c r="H30" s="15"/>
      <c r="I30" s="15"/>
      <c r="J30" s="15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16"/>
      <c r="H31" s="15"/>
      <c r="I31" s="15"/>
      <c r="J31" s="15"/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16"/>
      <c r="H32" s="15"/>
      <c r="I32" s="15"/>
      <c r="J32" s="15"/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16"/>
      <c r="H33" s="15"/>
      <c r="I33" s="15"/>
      <c r="J33" s="15"/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16"/>
      <c r="H34" s="15"/>
      <c r="I34" s="15"/>
      <c r="J34" s="15"/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16"/>
      <c r="H35" s="15"/>
      <c r="I35" s="15"/>
      <c r="J35" s="15"/>
      <c r="K35" s="1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16"/>
      <c r="H36" s="15"/>
      <c r="I36" s="15"/>
      <c r="J36" s="15"/>
      <c r="K36" s="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16"/>
      <c r="H37" s="15"/>
      <c r="I37" s="15"/>
      <c r="J37" s="15"/>
      <c r="K37" s="1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16"/>
      <c r="H38" s="15"/>
      <c r="I38" s="15"/>
      <c r="J38" s="15"/>
      <c r="K38" s="1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16"/>
      <c r="H39" s="15"/>
      <c r="I39" s="15"/>
      <c r="J39" s="15"/>
      <c r="K39" s="1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16"/>
      <c r="H40" s="15"/>
      <c r="I40" s="15"/>
      <c r="J40" s="15"/>
      <c r="K40" s="1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16"/>
      <c r="H41" s="15"/>
      <c r="I41" s="15"/>
      <c r="J41" s="15"/>
      <c r="K41" s="1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16"/>
      <c r="H42" s="15"/>
      <c r="I42" s="15"/>
      <c r="J42" s="15"/>
      <c r="K42" s="1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16"/>
      <c r="H43" s="15"/>
      <c r="I43" s="15"/>
      <c r="J43" s="15"/>
      <c r="K43" s="1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16"/>
      <c r="H44" s="15"/>
      <c r="I44" s="15"/>
      <c r="J44" s="15"/>
      <c r="K44" s="1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16"/>
      <c r="H45" s="15"/>
      <c r="I45" s="15"/>
      <c r="J45" s="15"/>
      <c r="K45" s="1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16"/>
      <c r="H46" s="15"/>
      <c r="I46" s="15"/>
      <c r="J46" s="15"/>
      <c r="K46" s="1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16"/>
      <c r="H47" s="15"/>
      <c r="I47" s="15"/>
      <c r="J47" s="15"/>
      <c r="K47" s="1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16"/>
      <c r="H48" s="15"/>
      <c r="I48" s="15"/>
      <c r="J48" s="15"/>
      <c r="K48" s="1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16"/>
      <c r="H49" s="15"/>
      <c r="I49" s="15"/>
      <c r="J49" s="15"/>
      <c r="K49" s="1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16"/>
      <c r="H50" s="15"/>
      <c r="I50" s="15"/>
      <c r="J50" s="15"/>
      <c r="K50" s="1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16"/>
      <c r="H51" s="15"/>
      <c r="I51" s="15"/>
      <c r="J51" s="15"/>
      <c r="K51" s="1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16"/>
      <c r="H52" s="15"/>
      <c r="I52" s="15"/>
      <c r="J52" s="15"/>
      <c r="K52" s="1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16"/>
      <c r="H53" s="15"/>
      <c r="I53" s="15"/>
      <c r="J53" s="15"/>
      <c r="K53" s="1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16"/>
      <c r="H54" s="15"/>
      <c r="I54" s="15"/>
      <c r="J54" s="15"/>
      <c r="K54" s="1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16"/>
      <c r="H55" s="15"/>
      <c r="I55" s="15"/>
      <c r="J55" s="15"/>
      <c r="K55" s="1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16"/>
      <c r="H56" s="15"/>
      <c r="I56" s="15"/>
      <c r="J56" s="15"/>
      <c r="K56" s="1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16"/>
      <c r="H57" s="15"/>
      <c r="I57" s="15"/>
      <c r="J57" s="15"/>
      <c r="K57" s="1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16"/>
      <c r="H58" s="15"/>
      <c r="I58" s="15"/>
      <c r="J58" s="15"/>
      <c r="K58" s="1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16"/>
      <c r="H59" s="15"/>
      <c r="I59" s="15"/>
      <c r="J59" s="15"/>
      <c r="K59" s="1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16"/>
      <c r="H60" s="15"/>
      <c r="I60" s="15"/>
      <c r="J60" s="15"/>
      <c r="K60" s="1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16"/>
      <c r="H61" s="15"/>
      <c r="I61" s="15"/>
      <c r="J61" s="15"/>
      <c r="K61" s="1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16"/>
      <c r="H62" s="15"/>
      <c r="I62" s="15"/>
      <c r="J62" s="15"/>
      <c r="K62" s="1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16"/>
      <c r="H63" s="15"/>
      <c r="I63" s="15"/>
      <c r="J63" s="15"/>
      <c r="K63" s="1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16"/>
      <c r="H64" s="15"/>
      <c r="I64" s="15"/>
      <c r="J64" s="15"/>
      <c r="K64" s="1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16"/>
      <c r="H65" s="15"/>
      <c r="I65" s="15"/>
      <c r="J65" s="15"/>
      <c r="K65" s="1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16"/>
      <c r="H66" s="15"/>
      <c r="I66" s="15"/>
      <c r="J66" s="15"/>
      <c r="K66" s="1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16"/>
      <c r="H67" s="15"/>
      <c r="I67" s="15"/>
      <c r="J67" s="15"/>
      <c r="K67" s="1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16"/>
      <c r="H68" s="15"/>
      <c r="I68" s="15"/>
      <c r="J68" s="15"/>
      <c r="K68" s="1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16"/>
      <c r="H69" s="15"/>
      <c r="I69" s="15"/>
      <c r="J69" s="15"/>
      <c r="K69" s="1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16"/>
      <c r="H70" s="15"/>
      <c r="I70" s="15"/>
      <c r="J70" s="15"/>
      <c r="K70" s="1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16"/>
      <c r="H71" s="15"/>
      <c r="I71" s="15"/>
      <c r="J71" s="15"/>
      <c r="K71" s="1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16"/>
      <c r="H72" s="15"/>
      <c r="I72" s="15"/>
      <c r="J72" s="15"/>
      <c r="K72" s="1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16"/>
      <c r="H73" s="15"/>
      <c r="I73" s="15"/>
      <c r="J73" s="15"/>
      <c r="K73" s="1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16"/>
      <c r="H74" s="15"/>
      <c r="I74" s="15"/>
      <c r="J74" s="15"/>
      <c r="K74" s="1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16"/>
      <c r="H75" s="15"/>
      <c r="I75" s="15"/>
      <c r="J75" s="15"/>
      <c r="K75" s="1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16"/>
      <c r="H76" s="15"/>
      <c r="I76" s="15"/>
      <c r="J76" s="15"/>
      <c r="K76" s="1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16"/>
      <c r="H77" s="15"/>
      <c r="I77" s="15"/>
      <c r="J77" s="15"/>
      <c r="K77" s="1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16"/>
      <c r="H78" s="15"/>
      <c r="I78" s="15"/>
      <c r="J78" s="15"/>
      <c r="K78" s="1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16"/>
      <c r="H79" s="15"/>
      <c r="I79" s="15"/>
      <c r="J79" s="15"/>
      <c r="K79" s="1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16"/>
      <c r="H80" s="15"/>
      <c r="I80" s="15"/>
      <c r="J80" s="15"/>
      <c r="K80" s="1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16"/>
      <c r="H81" s="15"/>
      <c r="I81" s="15"/>
      <c r="J81" s="15"/>
      <c r="K81" s="1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16"/>
      <c r="H82" s="15"/>
      <c r="I82" s="15"/>
      <c r="J82" s="15"/>
      <c r="K82" s="1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16"/>
      <c r="H83" s="15"/>
      <c r="I83" s="15"/>
      <c r="J83" s="15"/>
      <c r="K83" s="1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16"/>
      <c r="H84" s="15"/>
      <c r="I84" s="15"/>
      <c r="J84" s="15"/>
      <c r="K84" s="1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16"/>
      <c r="H85" s="15"/>
      <c r="I85" s="15"/>
      <c r="J85" s="15"/>
      <c r="K85" s="1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16"/>
      <c r="H86" s="15"/>
      <c r="I86" s="15"/>
      <c r="J86" s="15"/>
      <c r="K86" s="1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16"/>
      <c r="H87" s="15"/>
      <c r="I87" s="15"/>
      <c r="J87" s="15"/>
      <c r="K87" s="1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16"/>
      <c r="H88" s="15"/>
      <c r="I88" s="15"/>
      <c r="J88" s="15"/>
      <c r="K88" s="1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16"/>
      <c r="H89" s="15"/>
      <c r="I89" s="15"/>
      <c r="J89" s="15"/>
      <c r="K89" s="1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16"/>
      <c r="H90" s="15"/>
      <c r="I90" s="15"/>
      <c r="J90" s="15"/>
      <c r="K90" s="1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16"/>
      <c r="H91" s="15"/>
      <c r="I91" s="15"/>
      <c r="J91" s="15"/>
      <c r="K91" s="1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16"/>
      <c r="H92" s="15"/>
      <c r="I92" s="15"/>
      <c r="J92" s="15"/>
      <c r="K92" s="1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16"/>
      <c r="H93" s="15"/>
      <c r="I93" s="15"/>
      <c r="J93" s="15"/>
      <c r="K93" s="1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16"/>
      <c r="H94" s="15"/>
      <c r="I94" s="15"/>
      <c r="J94" s="15"/>
      <c r="K94" s="1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16"/>
      <c r="H95" s="15"/>
      <c r="I95" s="15"/>
      <c r="J95" s="15"/>
      <c r="K95" s="1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16"/>
      <c r="H96" s="15"/>
      <c r="I96" s="15"/>
      <c r="J96" s="15"/>
      <c r="K96" s="1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16"/>
      <c r="H97" s="15"/>
      <c r="I97" s="15"/>
      <c r="J97" s="15"/>
      <c r="K97" s="1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16"/>
      <c r="H98" s="15"/>
      <c r="I98" s="15"/>
      <c r="J98" s="15"/>
      <c r="K98" s="1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16"/>
      <c r="H99" s="15"/>
      <c r="I99" s="15"/>
      <c r="J99" s="15"/>
      <c r="K99" s="1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16"/>
      <c r="H100" s="15"/>
      <c r="I100" s="15"/>
      <c r="J100" s="15"/>
      <c r="K100" s="1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16"/>
      <c r="H101" s="15"/>
      <c r="I101" s="15"/>
      <c r="J101" s="15"/>
      <c r="K101" s="1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16"/>
      <c r="H102" s="15"/>
      <c r="I102" s="15"/>
      <c r="J102" s="15"/>
      <c r="K102" s="1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16"/>
      <c r="H103" s="15"/>
      <c r="I103" s="15"/>
      <c r="J103" s="15"/>
      <c r="K103" s="1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16"/>
      <c r="H104" s="15"/>
      <c r="I104" s="15"/>
      <c r="J104" s="15"/>
      <c r="K104" s="1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16"/>
      <c r="H105" s="15"/>
      <c r="I105" s="15"/>
      <c r="J105" s="15"/>
      <c r="K105" s="1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16"/>
      <c r="H106" s="15"/>
      <c r="I106" s="15"/>
      <c r="J106" s="15"/>
      <c r="K106" s="1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16"/>
      <c r="H107" s="15"/>
      <c r="I107" s="15"/>
      <c r="J107" s="15"/>
      <c r="K107" s="1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16"/>
      <c r="H108" s="15"/>
      <c r="I108" s="15"/>
      <c r="J108" s="15"/>
      <c r="K108" s="15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16"/>
      <c r="H109" s="15"/>
      <c r="I109" s="15"/>
      <c r="J109" s="15"/>
      <c r="K109" s="1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16"/>
      <c r="H110" s="15"/>
      <c r="I110" s="15"/>
      <c r="J110" s="15"/>
      <c r="K110" s="1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16"/>
      <c r="H111" s="15"/>
      <c r="I111" s="15"/>
      <c r="J111" s="15"/>
      <c r="K111" s="1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16"/>
      <c r="H112" s="15"/>
      <c r="I112" s="15"/>
      <c r="J112" s="15"/>
      <c r="K112" s="1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16"/>
      <c r="H113" s="15"/>
      <c r="I113" s="15"/>
      <c r="J113" s="15"/>
      <c r="K113" s="1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16"/>
      <c r="H114" s="15"/>
      <c r="I114" s="15"/>
      <c r="J114" s="15"/>
      <c r="K114" s="1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16"/>
      <c r="H115" s="15"/>
      <c r="I115" s="15"/>
      <c r="J115" s="15"/>
      <c r="K115" s="1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16"/>
      <c r="H116" s="15"/>
      <c r="I116" s="15"/>
      <c r="J116" s="15"/>
      <c r="K116" s="1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16"/>
      <c r="H117" s="15"/>
      <c r="I117" s="15"/>
      <c r="J117" s="15"/>
      <c r="K117" s="15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16"/>
      <c r="H118" s="15"/>
      <c r="I118" s="15"/>
      <c r="J118" s="15"/>
      <c r="K118" s="1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16"/>
      <c r="H119" s="15"/>
      <c r="I119" s="15"/>
      <c r="J119" s="15"/>
      <c r="K119" s="1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16"/>
      <c r="H120" s="15"/>
      <c r="I120" s="15"/>
      <c r="J120" s="15"/>
      <c r="K120" s="1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16"/>
      <c r="H121" s="15"/>
      <c r="I121" s="15"/>
      <c r="J121" s="15"/>
      <c r="K121" s="1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16"/>
      <c r="H122" s="15"/>
      <c r="I122" s="15"/>
      <c r="J122" s="15"/>
      <c r="K122" s="1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16"/>
      <c r="H123" s="15"/>
      <c r="I123" s="15"/>
      <c r="J123" s="15"/>
      <c r="K123" s="15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16"/>
      <c r="H124" s="15"/>
      <c r="I124" s="15"/>
      <c r="J124" s="15"/>
      <c r="K124" s="1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16"/>
      <c r="H125" s="15"/>
      <c r="I125" s="15"/>
      <c r="J125" s="15"/>
      <c r="K125" s="1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16"/>
      <c r="H126" s="15"/>
      <c r="I126" s="15"/>
      <c r="J126" s="15"/>
      <c r="K126" s="1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16"/>
      <c r="H127" s="15"/>
      <c r="I127" s="15"/>
      <c r="J127" s="15"/>
      <c r="K127" s="1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16"/>
      <c r="H128" s="15"/>
      <c r="I128" s="15"/>
      <c r="J128" s="15"/>
      <c r="K128" s="1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16"/>
      <c r="H129" s="15"/>
      <c r="I129" s="15"/>
      <c r="J129" s="15"/>
      <c r="K129" s="1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16"/>
      <c r="H130" s="15"/>
      <c r="I130" s="15"/>
      <c r="J130" s="15"/>
      <c r="K130" s="1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16"/>
      <c r="H131" s="15"/>
      <c r="I131" s="15"/>
      <c r="J131" s="15"/>
      <c r="K131" s="1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16"/>
      <c r="H132" s="15"/>
      <c r="I132" s="15"/>
      <c r="J132" s="15"/>
      <c r="K132" s="1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16"/>
      <c r="H133" s="15"/>
      <c r="I133" s="15"/>
      <c r="J133" s="15"/>
      <c r="K133" s="15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16"/>
      <c r="H134" s="15"/>
      <c r="I134" s="15"/>
      <c r="J134" s="15"/>
      <c r="K134" s="15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16"/>
      <c r="H135" s="15"/>
      <c r="I135" s="15"/>
      <c r="J135" s="15"/>
      <c r="K135" s="15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16"/>
      <c r="H136" s="15"/>
      <c r="I136" s="15"/>
      <c r="J136" s="15"/>
      <c r="K136" s="15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16"/>
      <c r="H137" s="15"/>
      <c r="I137" s="15"/>
      <c r="J137" s="15"/>
      <c r="K137" s="1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16"/>
      <c r="H138" s="15"/>
      <c r="I138" s="15"/>
      <c r="J138" s="15"/>
      <c r="K138" s="1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16"/>
      <c r="H139" s="15"/>
      <c r="I139" s="15"/>
      <c r="J139" s="15"/>
      <c r="K139" s="1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16"/>
      <c r="H140" s="15"/>
      <c r="I140" s="15"/>
      <c r="J140" s="15"/>
      <c r="K140" s="1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16"/>
      <c r="H141" s="15"/>
      <c r="I141" s="15"/>
      <c r="J141" s="15"/>
      <c r="K141" s="1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16"/>
      <c r="H142" s="15"/>
      <c r="I142" s="15"/>
      <c r="J142" s="15"/>
      <c r="K142" s="1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16"/>
      <c r="H143" s="15"/>
      <c r="I143" s="15"/>
      <c r="J143" s="15"/>
      <c r="K143" s="1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16"/>
      <c r="H144" s="15"/>
      <c r="I144" s="15"/>
      <c r="J144" s="15"/>
      <c r="K144" s="1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16"/>
      <c r="H145" s="15"/>
      <c r="I145" s="15"/>
      <c r="J145" s="15"/>
      <c r="K145" s="1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16"/>
      <c r="H146" s="15"/>
      <c r="I146" s="15"/>
      <c r="J146" s="15"/>
      <c r="K146" s="1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16"/>
      <c r="H147" s="15"/>
      <c r="I147" s="15"/>
      <c r="J147" s="15"/>
      <c r="K147" s="1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16"/>
      <c r="H148" s="15"/>
      <c r="I148" s="15"/>
      <c r="J148" s="15"/>
      <c r="K148" s="15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16"/>
      <c r="H149" s="15"/>
      <c r="I149" s="15"/>
      <c r="J149" s="15"/>
      <c r="K149" s="1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16"/>
      <c r="H150" s="15"/>
      <c r="I150" s="15"/>
      <c r="J150" s="15"/>
      <c r="K150" s="1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16"/>
      <c r="H151" s="15"/>
      <c r="I151" s="15"/>
      <c r="J151" s="15"/>
      <c r="K151" s="1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16"/>
      <c r="H152" s="15"/>
      <c r="I152" s="15"/>
      <c r="J152" s="15"/>
      <c r="K152" s="1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16"/>
      <c r="H153" s="15"/>
      <c r="I153" s="15"/>
      <c r="J153" s="15"/>
      <c r="K153" s="1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16"/>
      <c r="H154" s="15"/>
      <c r="I154" s="15"/>
      <c r="J154" s="15"/>
      <c r="K154" s="1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16"/>
      <c r="H155" s="15"/>
      <c r="I155" s="15"/>
      <c r="J155" s="15"/>
      <c r="K155" s="15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16"/>
      <c r="H156" s="15"/>
      <c r="I156" s="15"/>
      <c r="J156" s="15"/>
      <c r="K156" s="15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16"/>
      <c r="H157" s="15"/>
      <c r="I157" s="15"/>
      <c r="J157" s="15"/>
      <c r="K157" s="15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16"/>
      <c r="H158" s="15"/>
      <c r="I158" s="15"/>
      <c r="J158" s="15"/>
      <c r="K158" s="1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16"/>
      <c r="H159" s="15"/>
      <c r="I159" s="15"/>
      <c r="J159" s="15"/>
      <c r="K159" s="15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16"/>
      <c r="H160" s="15"/>
      <c r="I160" s="15"/>
      <c r="J160" s="15"/>
      <c r="K160" s="15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16"/>
      <c r="H161" s="15"/>
      <c r="I161" s="15"/>
      <c r="J161" s="15"/>
      <c r="K161" s="1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16"/>
      <c r="H162" s="15"/>
      <c r="I162" s="15"/>
      <c r="J162" s="15"/>
      <c r="K162" s="1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16"/>
      <c r="H163" s="15"/>
      <c r="I163" s="15"/>
      <c r="J163" s="15"/>
      <c r="K163" s="1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16"/>
      <c r="H164" s="15"/>
      <c r="I164" s="15"/>
      <c r="J164" s="15"/>
      <c r="K164" s="1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16"/>
      <c r="H165" s="15"/>
      <c r="I165" s="15"/>
      <c r="J165" s="15"/>
      <c r="K165" s="1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16"/>
      <c r="H166" s="15"/>
      <c r="I166" s="15"/>
      <c r="J166" s="15"/>
      <c r="K166" s="15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16"/>
      <c r="H167" s="15"/>
      <c r="I167" s="15"/>
      <c r="J167" s="15"/>
      <c r="K167" s="15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16"/>
      <c r="H168" s="15"/>
      <c r="I168" s="15"/>
      <c r="J168" s="15"/>
      <c r="K168" s="15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16"/>
      <c r="H169" s="15"/>
      <c r="I169" s="15"/>
      <c r="J169" s="15"/>
      <c r="K169" s="15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16"/>
      <c r="H170" s="15"/>
      <c r="I170" s="15"/>
      <c r="J170" s="15"/>
      <c r="K170" s="15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16"/>
      <c r="H171" s="15"/>
      <c r="I171" s="15"/>
      <c r="J171" s="15"/>
      <c r="K171" s="15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16"/>
      <c r="H172" s="15"/>
      <c r="I172" s="15"/>
      <c r="J172" s="15"/>
      <c r="K172" s="15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16"/>
      <c r="H173" s="15"/>
      <c r="I173" s="15"/>
      <c r="J173" s="15"/>
      <c r="K173" s="1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16"/>
      <c r="H174" s="15"/>
      <c r="I174" s="15"/>
      <c r="J174" s="15"/>
      <c r="K174" s="15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16"/>
      <c r="H175" s="15"/>
      <c r="I175" s="15"/>
      <c r="J175" s="15"/>
      <c r="K175" s="15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16"/>
      <c r="H176" s="15"/>
      <c r="I176" s="15"/>
      <c r="J176" s="15"/>
      <c r="K176" s="15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16"/>
      <c r="H177" s="15"/>
      <c r="I177" s="15"/>
      <c r="J177" s="15"/>
      <c r="K177" s="15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16"/>
      <c r="H178" s="15"/>
      <c r="I178" s="15"/>
      <c r="J178" s="15"/>
      <c r="K178" s="15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16"/>
      <c r="H179" s="15"/>
      <c r="I179" s="15"/>
      <c r="J179" s="15"/>
      <c r="K179" s="15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16"/>
      <c r="H180" s="15"/>
      <c r="I180" s="15"/>
      <c r="J180" s="15"/>
      <c r="K180" s="15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16"/>
      <c r="H181" s="15"/>
      <c r="I181" s="15"/>
      <c r="J181" s="15"/>
      <c r="K181" s="15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16"/>
      <c r="H182" s="15"/>
      <c r="I182" s="15"/>
      <c r="J182" s="15"/>
      <c r="K182" s="15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16"/>
      <c r="H183" s="15"/>
      <c r="I183" s="15"/>
      <c r="J183" s="15"/>
      <c r="K183" s="15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16"/>
      <c r="H184" s="15"/>
      <c r="I184" s="15"/>
      <c r="J184" s="15"/>
      <c r="K184" s="15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16"/>
      <c r="H185" s="15"/>
      <c r="I185" s="15"/>
      <c r="J185" s="15"/>
      <c r="K185" s="1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16"/>
      <c r="H186" s="15"/>
      <c r="I186" s="15"/>
      <c r="J186" s="15"/>
      <c r="K186" s="15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16"/>
      <c r="H187" s="15"/>
      <c r="I187" s="15"/>
      <c r="J187" s="15"/>
      <c r="K187" s="15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16"/>
      <c r="H188" s="15"/>
      <c r="I188" s="15"/>
      <c r="J188" s="15"/>
      <c r="K188" s="15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16"/>
      <c r="H189" s="15"/>
      <c r="I189" s="15"/>
      <c r="J189" s="15"/>
      <c r="K189" s="1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16"/>
      <c r="H190" s="15"/>
      <c r="I190" s="15"/>
      <c r="J190" s="15"/>
      <c r="K190" s="15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16"/>
      <c r="H191" s="15"/>
      <c r="I191" s="15"/>
      <c r="J191" s="15"/>
      <c r="K191" s="15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16"/>
      <c r="H192" s="15"/>
      <c r="I192" s="15"/>
      <c r="J192" s="15"/>
      <c r="K192" s="15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16"/>
      <c r="H193" s="15"/>
      <c r="I193" s="15"/>
      <c r="J193" s="15"/>
      <c r="K193" s="15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16"/>
      <c r="H194" s="15"/>
      <c r="I194" s="15"/>
      <c r="J194" s="15"/>
      <c r="K194" s="1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16"/>
      <c r="H195" s="15"/>
      <c r="I195" s="15"/>
      <c r="J195" s="15"/>
      <c r="K195" s="1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16"/>
      <c r="H196" s="15"/>
      <c r="I196" s="15"/>
      <c r="J196" s="15"/>
      <c r="K196" s="1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16"/>
      <c r="H197" s="15"/>
      <c r="I197" s="15"/>
      <c r="J197" s="15"/>
      <c r="K197" s="1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16"/>
      <c r="H198" s="15"/>
      <c r="I198" s="15"/>
      <c r="J198" s="15"/>
      <c r="K198" s="1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16"/>
      <c r="H199" s="15"/>
      <c r="I199" s="15"/>
      <c r="J199" s="15"/>
      <c r="K199" s="1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16"/>
      <c r="H200" s="15"/>
      <c r="I200" s="15"/>
      <c r="J200" s="15"/>
      <c r="K200" s="15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16"/>
      <c r="H201" s="15"/>
      <c r="I201" s="15"/>
      <c r="J201" s="15"/>
      <c r="K201" s="1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16"/>
      <c r="H202" s="15"/>
      <c r="I202" s="15"/>
      <c r="J202" s="15"/>
      <c r="K202" s="1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16"/>
      <c r="H203" s="15"/>
      <c r="I203" s="15"/>
      <c r="J203" s="15"/>
      <c r="K203" s="1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16"/>
      <c r="H204" s="15"/>
      <c r="I204" s="15"/>
      <c r="J204" s="15"/>
      <c r="K204" s="1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16"/>
      <c r="H205" s="15"/>
      <c r="I205" s="15"/>
      <c r="J205" s="15"/>
      <c r="K205" s="1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16"/>
      <c r="H206" s="15"/>
      <c r="I206" s="15"/>
      <c r="J206" s="15"/>
      <c r="K206" s="1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16"/>
      <c r="H207" s="15"/>
      <c r="I207" s="15"/>
      <c r="J207" s="15"/>
      <c r="K207" s="1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16"/>
      <c r="H208" s="15"/>
      <c r="I208" s="15"/>
      <c r="J208" s="15"/>
      <c r="K208" s="1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16"/>
      <c r="H209" s="15"/>
      <c r="I209" s="15"/>
      <c r="J209" s="15"/>
      <c r="K209" s="1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16"/>
      <c r="H210" s="15"/>
      <c r="I210" s="15"/>
      <c r="J210" s="15"/>
      <c r="K210" s="1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16"/>
      <c r="H211" s="15"/>
      <c r="I211" s="15"/>
      <c r="J211" s="15"/>
      <c r="K211" s="1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16"/>
      <c r="H212" s="15"/>
      <c r="I212" s="15"/>
      <c r="J212" s="15"/>
      <c r="K212" s="1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16"/>
      <c r="H213" s="15"/>
      <c r="I213" s="15"/>
      <c r="J213" s="15"/>
      <c r="K213" s="1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16"/>
      <c r="H214" s="15"/>
      <c r="I214" s="15"/>
      <c r="J214" s="15"/>
      <c r="K214" s="1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16"/>
      <c r="H215" s="15"/>
      <c r="I215" s="15"/>
      <c r="J215" s="15"/>
      <c r="K215" s="1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16"/>
      <c r="H216" s="15"/>
      <c r="I216" s="15"/>
      <c r="J216" s="15"/>
      <c r="K216" s="15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16"/>
      <c r="H217" s="15"/>
      <c r="I217" s="15"/>
      <c r="J217" s="15"/>
      <c r="K217" s="1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16"/>
      <c r="H218" s="15"/>
      <c r="I218" s="15"/>
      <c r="J218" s="15"/>
      <c r="K218" s="1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16"/>
      <c r="H219" s="15"/>
      <c r="I219" s="15"/>
      <c r="J219" s="15"/>
      <c r="K219" s="1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16"/>
      <c r="H220" s="15"/>
      <c r="I220" s="15"/>
      <c r="J220" s="15"/>
      <c r="K220" s="15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75"/>
    <col customWidth="1" min="3" max="3" width="14.75"/>
    <col customWidth="1" min="4" max="4" width="15.63"/>
    <col customWidth="1" min="5" max="5" width="24.0"/>
    <col customWidth="1" min="6" max="6" width="29.88"/>
    <col customWidth="1" min="7" max="7" width="17.13"/>
    <col customWidth="1" min="8" max="8" width="41.5"/>
    <col customWidth="1" min="9" max="9" width="50.38"/>
    <col customWidth="1" min="10" max="10" width="32.75"/>
    <col customWidth="1" min="11" max="11" width="13.88"/>
  </cols>
  <sheetData>
    <row r="1" ht="15.75" customHeight="1">
      <c r="A1" s="1" t="s">
        <v>92</v>
      </c>
      <c r="B1" s="1" t="s">
        <v>21</v>
      </c>
      <c r="C1" s="1" t="s">
        <v>22</v>
      </c>
      <c r="D1" s="1" t="s">
        <v>23</v>
      </c>
      <c r="E1" s="1" t="s">
        <v>20</v>
      </c>
      <c r="F1" s="1" t="s">
        <v>25</v>
      </c>
      <c r="G1" s="1" t="s">
        <v>93</v>
      </c>
      <c r="H1" s="1" t="s">
        <v>94</v>
      </c>
      <c r="I1" s="1" t="s">
        <v>95</v>
      </c>
      <c r="J1" s="1" t="s">
        <v>27</v>
      </c>
      <c r="K1" s="1" t="s">
        <v>28</v>
      </c>
      <c r="L1" s="1" t="s">
        <v>29</v>
      </c>
      <c r="M1" s="1" t="s">
        <v>30</v>
      </c>
      <c r="N1" s="7" t="s">
        <v>32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3" t="s">
        <v>96</v>
      </c>
      <c r="B2" s="3" t="s">
        <v>58</v>
      </c>
      <c r="C2" s="3" t="s">
        <v>35</v>
      </c>
      <c r="D2" s="3" t="s">
        <v>5</v>
      </c>
      <c r="E2" s="3" t="s">
        <v>57</v>
      </c>
      <c r="F2" s="3" t="s">
        <v>60</v>
      </c>
      <c r="G2" s="3" t="s">
        <v>59</v>
      </c>
      <c r="H2" s="3" t="s">
        <v>60</v>
      </c>
      <c r="I2" s="3" t="s">
        <v>61</v>
      </c>
      <c r="J2" s="13"/>
      <c r="K2" s="11" t="s">
        <v>48</v>
      </c>
      <c r="L2" s="11">
        <v>13.0</v>
      </c>
      <c r="M2" s="10"/>
      <c r="N2" s="4">
        <v>5.0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97</v>
      </c>
      <c r="B3" s="3" t="s">
        <v>63</v>
      </c>
      <c r="C3" s="3" t="s">
        <v>35</v>
      </c>
      <c r="D3" s="3" t="s">
        <v>5</v>
      </c>
      <c r="E3" s="3" t="s">
        <v>62</v>
      </c>
      <c r="F3" s="3" t="s">
        <v>64</v>
      </c>
      <c r="G3" s="3" t="s">
        <v>59</v>
      </c>
      <c r="H3" s="3" t="s">
        <v>64</v>
      </c>
      <c r="I3" s="3" t="s">
        <v>65</v>
      </c>
      <c r="J3" s="13"/>
      <c r="K3" s="11" t="s">
        <v>48</v>
      </c>
      <c r="L3" s="11">
        <v>13.0</v>
      </c>
      <c r="M3" s="10"/>
      <c r="N3" s="4">
        <v>5.0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98</v>
      </c>
      <c r="B4" s="3" t="s">
        <v>67</v>
      </c>
      <c r="C4" s="3" t="s">
        <v>35</v>
      </c>
      <c r="D4" s="3" t="s">
        <v>5</v>
      </c>
      <c r="E4" s="3" t="s">
        <v>66</v>
      </c>
      <c r="F4" s="3" t="s">
        <v>68</v>
      </c>
      <c r="G4" s="3" t="s">
        <v>59</v>
      </c>
      <c r="H4" s="3" t="s">
        <v>68</v>
      </c>
      <c r="I4" s="3" t="s">
        <v>69</v>
      </c>
      <c r="J4" s="13"/>
      <c r="K4" s="11" t="s">
        <v>39</v>
      </c>
      <c r="L4" s="11">
        <v>8.0</v>
      </c>
      <c r="M4" s="10"/>
      <c r="N4" s="4">
        <v>3.0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99</v>
      </c>
      <c r="B5" s="3" t="s">
        <v>100</v>
      </c>
      <c r="C5" s="3" t="s">
        <v>35</v>
      </c>
      <c r="D5" s="3" t="s">
        <v>5</v>
      </c>
      <c r="E5" s="3" t="s">
        <v>70</v>
      </c>
      <c r="F5" s="3" t="s">
        <v>73</v>
      </c>
      <c r="G5" s="3" t="s">
        <v>72</v>
      </c>
      <c r="H5" s="3" t="s">
        <v>101</v>
      </c>
      <c r="I5" s="3" t="s">
        <v>102</v>
      </c>
      <c r="J5" s="13"/>
      <c r="K5" s="11" t="s">
        <v>39</v>
      </c>
      <c r="L5" s="11">
        <v>8.0</v>
      </c>
      <c r="M5" s="10"/>
      <c r="N5" s="4">
        <v>3.0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103</v>
      </c>
      <c r="B6" s="3" t="s">
        <v>104</v>
      </c>
      <c r="C6" s="3" t="s">
        <v>35</v>
      </c>
      <c r="D6" s="3" t="s">
        <v>5</v>
      </c>
      <c r="E6" s="3" t="s">
        <v>70</v>
      </c>
      <c r="F6" s="3" t="s">
        <v>73</v>
      </c>
      <c r="G6" s="3" t="s">
        <v>72</v>
      </c>
      <c r="H6" s="3" t="s">
        <v>105</v>
      </c>
      <c r="I6" s="3" t="s">
        <v>106</v>
      </c>
      <c r="J6" s="13"/>
      <c r="K6" s="11" t="s">
        <v>39</v>
      </c>
      <c r="L6" s="11">
        <v>8.0</v>
      </c>
      <c r="M6" s="10"/>
      <c r="N6" s="4">
        <v>3.0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107</v>
      </c>
      <c r="B7" s="3" t="s">
        <v>108</v>
      </c>
      <c r="C7" s="3" t="s">
        <v>35</v>
      </c>
      <c r="D7" s="3" t="s">
        <v>5</v>
      </c>
      <c r="E7" s="3" t="s">
        <v>70</v>
      </c>
      <c r="F7" s="3" t="s">
        <v>73</v>
      </c>
      <c r="G7" s="3" t="s">
        <v>72</v>
      </c>
      <c r="H7" s="3" t="s">
        <v>109</v>
      </c>
      <c r="I7" s="3" t="s">
        <v>110</v>
      </c>
      <c r="J7" s="13"/>
      <c r="K7" s="11" t="s">
        <v>48</v>
      </c>
      <c r="L7" s="11">
        <v>13.0</v>
      </c>
      <c r="M7" s="10"/>
      <c r="N7" s="4">
        <v>3.0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111</v>
      </c>
      <c r="B8" s="3" t="s">
        <v>112</v>
      </c>
      <c r="C8" s="3" t="s">
        <v>35</v>
      </c>
      <c r="D8" s="3" t="s">
        <v>5</v>
      </c>
      <c r="E8" s="3" t="s">
        <v>70</v>
      </c>
      <c r="F8" s="3" t="s">
        <v>73</v>
      </c>
      <c r="G8" s="3" t="s">
        <v>72</v>
      </c>
      <c r="H8" s="3" t="s">
        <v>113</v>
      </c>
      <c r="I8" s="3" t="s">
        <v>114</v>
      </c>
      <c r="J8" s="13"/>
      <c r="K8" s="11" t="s">
        <v>48</v>
      </c>
      <c r="L8" s="11">
        <v>13.0</v>
      </c>
      <c r="M8" s="10"/>
      <c r="N8" s="4">
        <v>3.0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115</v>
      </c>
      <c r="B9" s="3" t="s">
        <v>116</v>
      </c>
      <c r="C9" s="3" t="s">
        <v>35</v>
      </c>
      <c r="D9" s="3" t="s">
        <v>5</v>
      </c>
      <c r="E9" s="3" t="s">
        <v>70</v>
      </c>
      <c r="F9" s="3" t="s">
        <v>73</v>
      </c>
      <c r="G9" s="3" t="s">
        <v>72</v>
      </c>
      <c r="H9" s="3" t="s">
        <v>117</v>
      </c>
      <c r="I9" s="3" t="s">
        <v>118</v>
      </c>
      <c r="J9" s="13"/>
      <c r="K9" s="11" t="s">
        <v>48</v>
      </c>
      <c r="L9" s="11">
        <v>13.0</v>
      </c>
      <c r="M9" s="10"/>
      <c r="N9" s="4">
        <v>3.0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119</v>
      </c>
      <c r="B10" s="3" t="s">
        <v>120</v>
      </c>
      <c r="C10" s="3" t="s">
        <v>35</v>
      </c>
      <c r="D10" s="3" t="s">
        <v>5</v>
      </c>
      <c r="E10" s="3" t="s">
        <v>70</v>
      </c>
      <c r="F10" s="3" t="s">
        <v>73</v>
      </c>
      <c r="G10" s="3" t="s">
        <v>72</v>
      </c>
      <c r="H10" s="3" t="s">
        <v>121</v>
      </c>
      <c r="I10" s="3" t="s">
        <v>122</v>
      </c>
      <c r="J10" s="13"/>
      <c r="K10" s="11" t="s">
        <v>39</v>
      </c>
      <c r="L10" s="11">
        <v>8.0</v>
      </c>
      <c r="M10" s="10"/>
      <c r="N10" s="4">
        <v>3.0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123</v>
      </c>
      <c r="B11" s="3" t="s">
        <v>124</v>
      </c>
      <c r="C11" s="3" t="s">
        <v>35</v>
      </c>
      <c r="D11" s="3" t="s">
        <v>5</v>
      </c>
      <c r="E11" s="3" t="s">
        <v>33</v>
      </c>
      <c r="F11" s="3" t="s">
        <v>125</v>
      </c>
      <c r="G11" s="3" t="s">
        <v>126</v>
      </c>
      <c r="H11" s="3" t="s">
        <v>127</v>
      </c>
      <c r="I11" s="3" t="s">
        <v>128</v>
      </c>
      <c r="J11" s="13"/>
      <c r="K11" s="11" t="s">
        <v>39</v>
      </c>
      <c r="L11" s="11">
        <v>5.0</v>
      </c>
      <c r="M11" s="10"/>
      <c r="N11" s="4">
        <v>3.0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129</v>
      </c>
      <c r="B12" s="3" t="s">
        <v>130</v>
      </c>
      <c r="C12" s="3" t="s">
        <v>35</v>
      </c>
      <c r="D12" s="3" t="s">
        <v>5</v>
      </c>
      <c r="E12" s="3" t="s">
        <v>33</v>
      </c>
      <c r="F12" s="3" t="s">
        <v>125</v>
      </c>
      <c r="G12" s="3" t="s">
        <v>126</v>
      </c>
      <c r="H12" s="3" t="s">
        <v>131</v>
      </c>
      <c r="I12" s="3" t="s">
        <v>132</v>
      </c>
      <c r="J12" s="13"/>
      <c r="K12" s="11" t="s">
        <v>48</v>
      </c>
      <c r="L12" s="11">
        <v>8.0</v>
      </c>
      <c r="M12" s="10"/>
      <c r="N12" s="4">
        <v>3.0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133</v>
      </c>
      <c r="B13" s="3" t="s">
        <v>134</v>
      </c>
      <c r="C13" s="3" t="s">
        <v>35</v>
      </c>
      <c r="D13" s="3" t="s">
        <v>5</v>
      </c>
      <c r="E13" s="3" t="s">
        <v>33</v>
      </c>
      <c r="F13" s="3" t="s">
        <v>125</v>
      </c>
      <c r="G13" s="3" t="s">
        <v>126</v>
      </c>
      <c r="H13" s="3" t="s">
        <v>135</v>
      </c>
      <c r="I13" s="3" t="s">
        <v>136</v>
      </c>
      <c r="J13" s="13"/>
      <c r="K13" s="11" t="s">
        <v>48</v>
      </c>
      <c r="L13" s="11">
        <v>8.0</v>
      </c>
      <c r="M13" s="10"/>
      <c r="N13" s="4">
        <v>3.0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137</v>
      </c>
      <c r="B14" s="3" t="s">
        <v>138</v>
      </c>
      <c r="C14" s="3" t="s">
        <v>35</v>
      </c>
      <c r="D14" s="3" t="s">
        <v>5</v>
      </c>
      <c r="E14" s="3" t="s">
        <v>40</v>
      </c>
      <c r="F14" s="3" t="s">
        <v>42</v>
      </c>
      <c r="G14" s="3" t="s">
        <v>126</v>
      </c>
      <c r="H14" s="3" t="s">
        <v>139</v>
      </c>
      <c r="I14" s="3" t="s">
        <v>140</v>
      </c>
      <c r="J14" s="13"/>
      <c r="K14" s="11" t="s">
        <v>39</v>
      </c>
      <c r="L14" s="11">
        <v>5.0</v>
      </c>
      <c r="M14" s="10"/>
      <c r="N14" s="4">
        <v>3.0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141</v>
      </c>
      <c r="B15" s="3" t="s">
        <v>142</v>
      </c>
      <c r="C15" s="3" t="s">
        <v>35</v>
      </c>
      <c r="D15" s="3" t="s">
        <v>5</v>
      </c>
      <c r="E15" s="3" t="s">
        <v>40</v>
      </c>
      <c r="F15" s="3" t="s">
        <v>42</v>
      </c>
      <c r="G15" s="3" t="s">
        <v>126</v>
      </c>
      <c r="H15" s="3" t="s">
        <v>143</v>
      </c>
      <c r="I15" s="3" t="s">
        <v>144</v>
      </c>
      <c r="J15" s="13"/>
      <c r="K15" s="11" t="s">
        <v>39</v>
      </c>
      <c r="L15" s="11">
        <v>5.0</v>
      </c>
      <c r="M15" s="10"/>
      <c r="N15" s="4">
        <v>3.0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145</v>
      </c>
      <c r="B16" s="3" t="s">
        <v>146</v>
      </c>
      <c r="C16" s="3" t="s">
        <v>35</v>
      </c>
      <c r="D16" s="3" t="s">
        <v>5</v>
      </c>
      <c r="E16" s="3" t="s">
        <v>40</v>
      </c>
      <c r="F16" s="3" t="s">
        <v>42</v>
      </c>
      <c r="G16" s="3" t="s">
        <v>126</v>
      </c>
      <c r="H16" s="3" t="s">
        <v>147</v>
      </c>
      <c r="I16" s="3" t="s">
        <v>148</v>
      </c>
      <c r="J16" s="13"/>
      <c r="K16" s="11" t="s">
        <v>48</v>
      </c>
      <c r="L16" s="11">
        <v>8.0</v>
      </c>
      <c r="M16" s="10"/>
      <c r="N16" s="4">
        <v>3.0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149</v>
      </c>
      <c r="B17" s="3" t="s">
        <v>150</v>
      </c>
      <c r="C17" s="3" t="s">
        <v>35</v>
      </c>
      <c r="D17" s="3" t="s">
        <v>5</v>
      </c>
      <c r="E17" s="3" t="s">
        <v>44</v>
      </c>
      <c r="F17" s="3" t="s">
        <v>46</v>
      </c>
      <c r="G17" s="3" t="s">
        <v>126</v>
      </c>
      <c r="H17" s="3" t="s">
        <v>151</v>
      </c>
      <c r="I17" s="3" t="s">
        <v>152</v>
      </c>
      <c r="J17" s="13"/>
      <c r="K17" s="11" t="s">
        <v>39</v>
      </c>
      <c r="L17" s="11">
        <v>5.0</v>
      </c>
      <c r="M17" s="10"/>
      <c r="N17" s="4">
        <v>3.0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153</v>
      </c>
      <c r="B18" s="3" t="s">
        <v>154</v>
      </c>
      <c r="C18" s="3" t="s">
        <v>35</v>
      </c>
      <c r="D18" s="3" t="s">
        <v>5</v>
      </c>
      <c r="E18" s="3" t="s">
        <v>44</v>
      </c>
      <c r="F18" s="3" t="s">
        <v>46</v>
      </c>
      <c r="G18" s="3" t="s">
        <v>126</v>
      </c>
      <c r="H18" s="3" t="s">
        <v>155</v>
      </c>
      <c r="I18" s="3" t="s">
        <v>156</v>
      </c>
      <c r="J18" s="13"/>
      <c r="K18" s="11" t="s">
        <v>48</v>
      </c>
      <c r="L18" s="11">
        <v>8.0</v>
      </c>
      <c r="M18" s="10"/>
      <c r="N18" s="4">
        <v>3.0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157</v>
      </c>
      <c r="B19" s="3" t="s">
        <v>158</v>
      </c>
      <c r="C19" s="3" t="s">
        <v>35</v>
      </c>
      <c r="D19" s="3" t="s">
        <v>5</v>
      </c>
      <c r="E19" s="3" t="s">
        <v>44</v>
      </c>
      <c r="F19" s="3" t="s">
        <v>46</v>
      </c>
      <c r="G19" s="3" t="s">
        <v>126</v>
      </c>
      <c r="H19" s="3" t="s">
        <v>159</v>
      </c>
      <c r="I19" s="3" t="s">
        <v>160</v>
      </c>
      <c r="J19" s="13"/>
      <c r="K19" s="11" t="s">
        <v>39</v>
      </c>
      <c r="L19" s="11">
        <v>5.0</v>
      </c>
      <c r="M19" s="10"/>
      <c r="N19" s="4">
        <v>3.0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161</v>
      </c>
      <c r="B20" s="3" t="s">
        <v>162</v>
      </c>
      <c r="C20" s="3" t="s">
        <v>35</v>
      </c>
      <c r="D20" s="3" t="s">
        <v>5</v>
      </c>
      <c r="E20" s="3" t="s">
        <v>44</v>
      </c>
      <c r="F20" s="3" t="s">
        <v>46</v>
      </c>
      <c r="G20" s="3" t="s">
        <v>126</v>
      </c>
      <c r="H20" s="3" t="s">
        <v>163</v>
      </c>
      <c r="I20" s="3" t="s">
        <v>164</v>
      </c>
      <c r="J20" s="13"/>
      <c r="K20" s="11" t="s">
        <v>48</v>
      </c>
      <c r="L20" s="11">
        <v>8.0</v>
      </c>
      <c r="M20" s="10"/>
      <c r="N20" s="4">
        <v>3.0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165</v>
      </c>
      <c r="B21" s="3" t="s">
        <v>166</v>
      </c>
      <c r="C21" s="3" t="s">
        <v>35</v>
      </c>
      <c r="D21" s="3" t="s">
        <v>5</v>
      </c>
      <c r="E21" s="3" t="s">
        <v>49</v>
      </c>
      <c r="F21" s="3" t="s">
        <v>51</v>
      </c>
      <c r="G21" s="3" t="s">
        <v>126</v>
      </c>
      <c r="H21" s="3" t="s">
        <v>167</v>
      </c>
      <c r="I21" s="3" t="s">
        <v>168</v>
      </c>
      <c r="J21" s="13"/>
      <c r="K21" s="11" t="s">
        <v>39</v>
      </c>
      <c r="L21" s="11">
        <v>5.0</v>
      </c>
      <c r="M21" s="10"/>
      <c r="N21" s="4">
        <v>3.0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169</v>
      </c>
      <c r="B22" s="3" t="s">
        <v>170</v>
      </c>
      <c r="C22" s="3" t="s">
        <v>35</v>
      </c>
      <c r="D22" s="3" t="s">
        <v>5</v>
      </c>
      <c r="E22" s="3" t="s">
        <v>49</v>
      </c>
      <c r="F22" s="3" t="s">
        <v>51</v>
      </c>
      <c r="G22" s="3" t="s">
        <v>126</v>
      </c>
      <c r="H22" s="3" t="s">
        <v>171</v>
      </c>
      <c r="I22" s="3" t="s">
        <v>172</v>
      </c>
      <c r="J22" s="13"/>
      <c r="K22" s="11" t="s">
        <v>48</v>
      </c>
      <c r="L22" s="11">
        <v>8.0</v>
      </c>
      <c r="M22" s="10"/>
      <c r="N22" s="4">
        <v>3.0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173</v>
      </c>
      <c r="B23" s="3" t="s">
        <v>174</v>
      </c>
      <c r="C23" s="3" t="s">
        <v>35</v>
      </c>
      <c r="D23" s="3" t="s">
        <v>5</v>
      </c>
      <c r="E23" s="3" t="s">
        <v>49</v>
      </c>
      <c r="F23" s="3" t="s">
        <v>51</v>
      </c>
      <c r="G23" s="3" t="s">
        <v>126</v>
      </c>
      <c r="H23" s="3" t="s">
        <v>175</v>
      </c>
      <c r="I23" s="3" t="s">
        <v>176</v>
      </c>
      <c r="J23" s="13"/>
      <c r="K23" s="11" t="s">
        <v>48</v>
      </c>
      <c r="L23" s="11">
        <v>8.0</v>
      </c>
      <c r="M23" s="10"/>
      <c r="N23" s="4">
        <v>3.0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177</v>
      </c>
      <c r="B24" s="3" t="s">
        <v>178</v>
      </c>
      <c r="C24" s="3" t="s">
        <v>35</v>
      </c>
      <c r="D24" s="3" t="s">
        <v>5</v>
      </c>
      <c r="E24" s="3" t="s">
        <v>53</v>
      </c>
      <c r="F24" s="3" t="s">
        <v>55</v>
      </c>
      <c r="G24" s="3" t="s">
        <v>126</v>
      </c>
      <c r="H24" s="3" t="s">
        <v>179</v>
      </c>
      <c r="I24" s="3" t="s">
        <v>180</v>
      </c>
      <c r="J24" s="13"/>
      <c r="K24" s="11" t="s">
        <v>39</v>
      </c>
      <c r="L24" s="11">
        <v>5.0</v>
      </c>
      <c r="M24" s="10"/>
      <c r="N24" s="4">
        <v>3.0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181</v>
      </c>
      <c r="B25" s="3" t="s">
        <v>182</v>
      </c>
      <c r="C25" s="3" t="s">
        <v>35</v>
      </c>
      <c r="D25" s="3" t="s">
        <v>5</v>
      </c>
      <c r="E25" s="3" t="s">
        <v>53</v>
      </c>
      <c r="F25" s="3" t="s">
        <v>55</v>
      </c>
      <c r="G25" s="3" t="s">
        <v>126</v>
      </c>
      <c r="H25" s="3" t="s">
        <v>183</v>
      </c>
      <c r="I25" s="3" t="s">
        <v>184</v>
      </c>
      <c r="J25" s="13"/>
      <c r="K25" s="11" t="s">
        <v>39</v>
      </c>
      <c r="L25" s="11">
        <v>5.0</v>
      </c>
      <c r="M25" s="10"/>
      <c r="N25" s="4">
        <v>3.0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185</v>
      </c>
      <c r="B26" s="3" t="s">
        <v>186</v>
      </c>
      <c r="C26" s="3" t="s">
        <v>35</v>
      </c>
      <c r="D26" s="3" t="s">
        <v>5</v>
      </c>
      <c r="E26" s="3" t="s">
        <v>53</v>
      </c>
      <c r="F26" s="3" t="s">
        <v>55</v>
      </c>
      <c r="G26" s="3" t="s">
        <v>126</v>
      </c>
      <c r="H26" s="3" t="s">
        <v>187</v>
      </c>
      <c r="I26" s="3" t="s">
        <v>188</v>
      </c>
      <c r="J26" s="13"/>
      <c r="K26" s="11" t="s">
        <v>48</v>
      </c>
      <c r="L26" s="11">
        <v>8.0</v>
      </c>
      <c r="M26" s="10"/>
      <c r="N26" s="4">
        <v>3.0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189</v>
      </c>
      <c r="B27" s="3" t="s">
        <v>76</v>
      </c>
      <c r="C27" s="3" t="s">
        <v>35</v>
      </c>
      <c r="D27" s="3" t="s">
        <v>5</v>
      </c>
      <c r="E27" s="3" t="s">
        <v>75</v>
      </c>
      <c r="F27" s="3" t="s">
        <v>78</v>
      </c>
      <c r="G27" s="3" t="s">
        <v>190</v>
      </c>
      <c r="H27" s="3" t="s">
        <v>78</v>
      </c>
      <c r="I27" s="3" t="s">
        <v>79</v>
      </c>
      <c r="J27" s="13"/>
      <c r="K27" s="11" t="s">
        <v>48</v>
      </c>
      <c r="L27" s="11">
        <v>8.0</v>
      </c>
      <c r="M27" s="10"/>
      <c r="N27" s="4">
        <v>1.0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191</v>
      </c>
      <c r="B28" s="3" t="s">
        <v>81</v>
      </c>
      <c r="C28" s="3" t="s">
        <v>35</v>
      </c>
      <c r="D28" s="3" t="s">
        <v>5</v>
      </c>
      <c r="E28" s="3" t="s">
        <v>80</v>
      </c>
      <c r="F28" s="3" t="s">
        <v>82</v>
      </c>
      <c r="G28" s="3" t="s">
        <v>190</v>
      </c>
      <c r="H28" s="3" t="s">
        <v>82</v>
      </c>
      <c r="I28" s="3" t="s">
        <v>83</v>
      </c>
      <c r="J28" s="13"/>
      <c r="K28" s="11" t="s">
        <v>48</v>
      </c>
      <c r="L28" s="11">
        <v>8.0</v>
      </c>
      <c r="M28" s="10"/>
      <c r="N28" s="4">
        <v>1.0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192</v>
      </c>
      <c r="B29" s="3" t="s">
        <v>85</v>
      </c>
      <c r="C29" s="3" t="s">
        <v>35</v>
      </c>
      <c r="D29" s="3" t="s">
        <v>5</v>
      </c>
      <c r="E29" s="3" t="s">
        <v>84</v>
      </c>
      <c r="F29" s="3" t="s">
        <v>86</v>
      </c>
      <c r="G29" s="3" t="s">
        <v>190</v>
      </c>
      <c r="H29" s="3" t="s">
        <v>86</v>
      </c>
      <c r="I29" s="3" t="s">
        <v>87</v>
      </c>
      <c r="J29" s="13"/>
      <c r="K29" s="11" t="s">
        <v>48</v>
      </c>
      <c r="L29" s="11">
        <v>8.0</v>
      </c>
      <c r="M29" s="10"/>
      <c r="N29" s="4">
        <v>1.0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193</v>
      </c>
      <c r="B30" s="3" t="s">
        <v>89</v>
      </c>
      <c r="C30" s="3" t="s">
        <v>35</v>
      </c>
      <c r="D30" s="3" t="s">
        <v>5</v>
      </c>
      <c r="E30" s="3" t="s">
        <v>88</v>
      </c>
      <c r="F30" s="3" t="s">
        <v>90</v>
      </c>
      <c r="G30" s="3" t="s">
        <v>190</v>
      </c>
      <c r="H30" s="3" t="s">
        <v>90</v>
      </c>
      <c r="I30" s="3" t="s">
        <v>91</v>
      </c>
      <c r="J30" s="13"/>
      <c r="K30" s="11" t="s">
        <v>39</v>
      </c>
      <c r="L30" s="11">
        <v>5.0</v>
      </c>
      <c r="M30" s="10"/>
      <c r="N30" s="4">
        <v>1.0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0"/>
      <c r="L31" s="10"/>
      <c r="M31" s="10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0"/>
      <c r="L32" s="10"/>
      <c r="M32" s="10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0"/>
      <c r="L33" s="10"/>
      <c r="M33" s="10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0"/>
      <c r="L34" s="10"/>
      <c r="M34" s="10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0"/>
      <c r="L35" s="10"/>
      <c r="M35" s="10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0"/>
      <c r="L36" s="10"/>
      <c r="M36" s="10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0"/>
      <c r="L37" s="10"/>
      <c r="M37" s="10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0"/>
      <c r="L38" s="10"/>
      <c r="M38" s="10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0"/>
      <c r="L39" s="10"/>
      <c r="M39" s="10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0"/>
      <c r="L40" s="10"/>
      <c r="M40" s="10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0"/>
      <c r="L41" s="10"/>
      <c r="M41" s="10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0"/>
      <c r="L42" s="10"/>
      <c r="M42" s="10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J43" s="13"/>
      <c r="K43" s="10"/>
      <c r="L43" s="10"/>
      <c r="M43" s="10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J44" s="13"/>
      <c r="K44" s="10"/>
      <c r="L44" s="10"/>
      <c r="M44" s="10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J45" s="13"/>
      <c r="K45" s="10"/>
      <c r="L45" s="10"/>
      <c r="M45" s="10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J46" s="13"/>
      <c r="K46" s="10"/>
      <c r="L46" s="10"/>
      <c r="M46" s="10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J47" s="13"/>
      <c r="K47" s="10"/>
      <c r="L47" s="10"/>
      <c r="M47" s="10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J48" s="13"/>
      <c r="K48" s="10"/>
      <c r="L48" s="10"/>
      <c r="M48" s="10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J49" s="13"/>
      <c r="K49" s="10"/>
      <c r="L49" s="10"/>
      <c r="M49" s="10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J50" s="13"/>
      <c r="K50" s="10"/>
      <c r="L50" s="10"/>
      <c r="M50" s="10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J51" s="13"/>
      <c r="K51" s="10"/>
      <c r="L51" s="10"/>
      <c r="M51" s="10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J52" s="13"/>
      <c r="K52" s="10"/>
      <c r="L52" s="10"/>
      <c r="M52" s="10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J53" s="13"/>
      <c r="K53" s="10"/>
      <c r="L53" s="10"/>
      <c r="M53" s="10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J54" s="13"/>
      <c r="K54" s="10"/>
      <c r="L54" s="10"/>
      <c r="M54" s="10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J55" s="13"/>
      <c r="K55" s="10"/>
      <c r="L55" s="10"/>
      <c r="M55" s="10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J56" s="13"/>
      <c r="K56" s="10"/>
      <c r="L56" s="10"/>
      <c r="M56" s="10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J57" s="13"/>
      <c r="K57" s="10"/>
      <c r="L57" s="10"/>
      <c r="M57" s="10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J58" s="13"/>
      <c r="K58" s="10"/>
      <c r="L58" s="10"/>
      <c r="M58" s="10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15"/>
      <c r="L59" s="15"/>
      <c r="M59" s="1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15"/>
      <c r="L60" s="15"/>
      <c r="M60" s="15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15"/>
      <c r="L61" s="15"/>
      <c r="M61" s="15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5"/>
      <c r="L62" s="15"/>
      <c r="M62" s="15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15"/>
      <c r="L63" s="15"/>
      <c r="M63" s="15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15"/>
      <c r="L64" s="15"/>
      <c r="M64" s="15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15"/>
      <c r="L65" s="15"/>
      <c r="M65" s="15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15"/>
      <c r="L66" s="15"/>
      <c r="M66" s="15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15"/>
      <c r="L67" s="15"/>
      <c r="M67" s="15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15"/>
      <c r="L68" s="15"/>
      <c r="M68" s="15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15"/>
      <c r="L69" s="15"/>
      <c r="M69" s="15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15"/>
      <c r="L70" s="15"/>
      <c r="M70" s="15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15"/>
      <c r="L71" s="15"/>
      <c r="M71" s="15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15"/>
      <c r="L72" s="15"/>
      <c r="M72" s="15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15"/>
      <c r="L73" s="15"/>
      <c r="M73" s="15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15"/>
      <c r="L74" s="15"/>
      <c r="M74" s="15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15"/>
      <c r="L75" s="15"/>
      <c r="M75" s="15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15"/>
      <c r="L76" s="15"/>
      <c r="M76" s="15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15"/>
      <c r="L77" s="15"/>
      <c r="M77" s="15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15"/>
      <c r="L78" s="15"/>
      <c r="M78" s="15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15"/>
      <c r="L79" s="15"/>
      <c r="M79" s="15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15"/>
      <c r="L80" s="15"/>
      <c r="M80" s="15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15"/>
      <c r="L81" s="15"/>
      <c r="M81" s="15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15"/>
      <c r="L82" s="15"/>
      <c r="M82" s="15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15"/>
      <c r="L83" s="15"/>
      <c r="M83" s="15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15"/>
      <c r="L84" s="15"/>
      <c r="M84" s="15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5"/>
      <c r="L85" s="15"/>
      <c r="M85" s="15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15"/>
      <c r="L86" s="15"/>
      <c r="M86" s="15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15"/>
      <c r="L87" s="15"/>
      <c r="M87" s="15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15"/>
      <c r="L88" s="15"/>
      <c r="M88" s="15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15"/>
      <c r="L89" s="15"/>
      <c r="M89" s="15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15"/>
      <c r="L90" s="15"/>
      <c r="M90" s="15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15"/>
      <c r="L91" s="15"/>
      <c r="M91" s="15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15"/>
      <c r="L92" s="15"/>
      <c r="M92" s="15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15"/>
      <c r="L93" s="15"/>
      <c r="M93" s="15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15"/>
      <c r="L94" s="15"/>
      <c r="M94" s="15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15"/>
      <c r="L95" s="15"/>
      <c r="M95" s="15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15"/>
      <c r="L96" s="15"/>
      <c r="M96" s="15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5"/>
      <c r="L97" s="15"/>
      <c r="M97" s="15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15"/>
      <c r="L98" s="15"/>
      <c r="M98" s="15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15"/>
      <c r="L99" s="15"/>
      <c r="M99" s="15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5"/>
      <c r="L100" s="15"/>
      <c r="M100" s="15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5"/>
      <c r="L101" s="15"/>
      <c r="M101" s="15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5"/>
      <c r="L102" s="15"/>
      <c r="M102" s="15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5"/>
      <c r="L103" s="15"/>
      <c r="M103" s="15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5"/>
      <c r="L104" s="15"/>
      <c r="M104" s="15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5"/>
      <c r="L105" s="15"/>
      <c r="M105" s="15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5"/>
      <c r="L106" s="15"/>
      <c r="M106" s="15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5"/>
      <c r="L107" s="15"/>
      <c r="M107" s="15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5"/>
      <c r="L108" s="15"/>
      <c r="M108" s="15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5"/>
      <c r="L109" s="15"/>
      <c r="M109" s="15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5"/>
      <c r="L110" s="15"/>
      <c r="M110" s="15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5"/>
      <c r="L111" s="15"/>
      <c r="M111" s="15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5"/>
      <c r="L112" s="15"/>
      <c r="M112" s="15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5"/>
      <c r="L113" s="15"/>
      <c r="M113" s="15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5"/>
      <c r="L114" s="15"/>
      <c r="M114" s="15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5"/>
      <c r="L115" s="15"/>
      <c r="M115" s="15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5"/>
      <c r="L116" s="15"/>
      <c r="M116" s="15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5"/>
      <c r="L117" s="15"/>
      <c r="M117" s="15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5"/>
      <c r="L118" s="15"/>
      <c r="M118" s="15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5"/>
      <c r="L119" s="15"/>
      <c r="M119" s="15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5"/>
      <c r="L120" s="15"/>
      <c r="M120" s="15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5"/>
      <c r="L121" s="15"/>
      <c r="M121" s="15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5"/>
      <c r="L122" s="15"/>
      <c r="M122" s="15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5"/>
      <c r="L123" s="15"/>
      <c r="M123" s="15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5"/>
      <c r="L124" s="15"/>
      <c r="M124" s="15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5"/>
      <c r="L125" s="15"/>
      <c r="M125" s="15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5"/>
      <c r="L126" s="15"/>
      <c r="M126" s="15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5"/>
      <c r="L127" s="15"/>
      <c r="M127" s="15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5"/>
      <c r="L128" s="15"/>
      <c r="M128" s="15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5"/>
      <c r="L129" s="15"/>
      <c r="M129" s="15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5"/>
      <c r="L130" s="15"/>
      <c r="M130" s="15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5"/>
      <c r="L131" s="15"/>
      <c r="M131" s="15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5"/>
      <c r="L132" s="15"/>
      <c r="M132" s="15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5"/>
      <c r="L133" s="15"/>
      <c r="M133" s="15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5"/>
      <c r="L134" s="15"/>
      <c r="M134" s="15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5"/>
      <c r="L135" s="15"/>
      <c r="M135" s="15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5"/>
      <c r="L136" s="15"/>
      <c r="M136" s="15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5"/>
      <c r="L137" s="15"/>
      <c r="M137" s="15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5"/>
      <c r="L138" s="15"/>
      <c r="M138" s="15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5"/>
      <c r="L139" s="15"/>
      <c r="M139" s="15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5"/>
      <c r="L140" s="15"/>
      <c r="M140" s="15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5"/>
      <c r="L141" s="15"/>
      <c r="M141" s="15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5"/>
      <c r="L142" s="15"/>
      <c r="M142" s="15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5"/>
      <c r="L143" s="15"/>
      <c r="M143" s="15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5"/>
      <c r="L144" s="15"/>
      <c r="M144" s="15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5"/>
      <c r="L145" s="15"/>
      <c r="M145" s="15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5"/>
      <c r="L146" s="15"/>
      <c r="M146" s="15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5"/>
      <c r="L147" s="15"/>
      <c r="M147" s="15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5"/>
      <c r="L148" s="15"/>
      <c r="M148" s="15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5"/>
      <c r="L149" s="15"/>
      <c r="M149" s="15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5"/>
      <c r="L150" s="15"/>
      <c r="M150" s="15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5"/>
      <c r="L151" s="15"/>
      <c r="M151" s="15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5"/>
      <c r="L152" s="15"/>
      <c r="M152" s="15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5"/>
      <c r="L153" s="15"/>
      <c r="M153" s="15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5"/>
      <c r="L154" s="15"/>
      <c r="M154" s="15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5"/>
      <c r="L155" s="15"/>
      <c r="M155" s="15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5"/>
      <c r="L156" s="15"/>
      <c r="M156" s="15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5"/>
      <c r="L157" s="15"/>
      <c r="M157" s="15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5"/>
      <c r="L158" s="15"/>
      <c r="M158" s="15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5"/>
      <c r="L159" s="15"/>
      <c r="M159" s="15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5"/>
      <c r="L160" s="15"/>
      <c r="M160" s="15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5"/>
      <c r="L161" s="15"/>
      <c r="M161" s="15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5"/>
      <c r="L162" s="15"/>
      <c r="M162" s="15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5"/>
      <c r="L163" s="15"/>
      <c r="M163" s="15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5"/>
      <c r="L164" s="15"/>
      <c r="M164" s="15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5"/>
      <c r="L165" s="15"/>
      <c r="M165" s="15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5"/>
      <c r="L166" s="15"/>
      <c r="M166" s="15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5"/>
      <c r="L167" s="15"/>
      <c r="M167" s="15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5"/>
      <c r="L168" s="15"/>
      <c r="M168" s="15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5"/>
      <c r="L169" s="15"/>
      <c r="M169" s="15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5"/>
      <c r="L170" s="15"/>
      <c r="M170" s="1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5"/>
      <c r="L171" s="15"/>
      <c r="M171" s="15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5"/>
      <c r="L172" s="15"/>
      <c r="M172" s="15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5"/>
      <c r="L173" s="15"/>
      <c r="M173" s="15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5"/>
      <c r="L174" s="15"/>
      <c r="M174" s="15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5"/>
      <c r="L175" s="15"/>
      <c r="M175" s="15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5"/>
      <c r="L176" s="15"/>
      <c r="M176" s="15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5"/>
      <c r="L177" s="15"/>
      <c r="M177" s="15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5"/>
      <c r="L178" s="15"/>
      <c r="M178" s="15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5"/>
      <c r="L179" s="15"/>
      <c r="M179" s="15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5"/>
      <c r="L180" s="15"/>
      <c r="M180" s="15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5"/>
      <c r="L181" s="15"/>
      <c r="M181" s="15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5"/>
      <c r="L182" s="15"/>
      <c r="M182" s="15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5"/>
      <c r="L183" s="15"/>
      <c r="M183" s="15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5"/>
      <c r="L184" s="15"/>
      <c r="M184" s="15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5"/>
      <c r="L185" s="15"/>
      <c r="M185" s="15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5"/>
      <c r="L186" s="15"/>
      <c r="M186" s="15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5"/>
      <c r="L187" s="15"/>
      <c r="M187" s="15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5"/>
      <c r="L188" s="15"/>
      <c r="M188" s="15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5"/>
      <c r="L189" s="15"/>
      <c r="M189" s="15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5"/>
      <c r="L190" s="15"/>
      <c r="M190" s="15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5"/>
      <c r="L191" s="15"/>
      <c r="M191" s="15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5"/>
      <c r="L192" s="15"/>
      <c r="M192" s="15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5"/>
      <c r="L193" s="15"/>
      <c r="M193" s="15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5"/>
      <c r="L194" s="15"/>
      <c r="M194" s="15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5"/>
      <c r="L195" s="15"/>
      <c r="M195" s="15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5"/>
      <c r="L196" s="15"/>
      <c r="M196" s="15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5"/>
      <c r="L197" s="15"/>
      <c r="M197" s="15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5"/>
      <c r="L198" s="15"/>
      <c r="M198" s="15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5"/>
      <c r="L199" s="15"/>
      <c r="M199" s="15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5"/>
      <c r="L200" s="15"/>
      <c r="M200" s="15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5"/>
      <c r="L201" s="15"/>
      <c r="M201" s="15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5"/>
      <c r="L202" s="15"/>
      <c r="M202" s="15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5"/>
      <c r="L203" s="15"/>
      <c r="M203" s="15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5"/>
      <c r="L204" s="15"/>
      <c r="M204" s="15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5"/>
      <c r="L205" s="15"/>
      <c r="M205" s="15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5"/>
      <c r="L206" s="15"/>
      <c r="M206" s="15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5"/>
      <c r="L207" s="15"/>
      <c r="M207" s="15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5"/>
      <c r="L208" s="15"/>
      <c r="M208" s="15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5"/>
      <c r="L209" s="15"/>
      <c r="M209" s="15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5"/>
      <c r="L210" s="15"/>
      <c r="M210" s="15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5"/>
      <c r="L211" s="15"/>
      <c r="M211" s="15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5"/>
      <c r="L212" s="15"/>
      <c r="M212" s="15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5"/>
      <c r="L213" s="15"/>
      <c r="M213" s="15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5"/>
      <c r="L214" s="15"/>
      <c r="M214" s="15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5"/>
      <c r="L215" s="15"/>
      <c r="M215" s="15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5"/>
      <c r="L216" s="15"/>
      <c r="M216" s="15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5"/>
      <c r="L217" s="15"/>
      <c r="M217" s="15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5"/>
      <c r="L218" s="15"/>
      <c r="M218" s="15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5"/>
      <c r="L219" s="15"/>
      <c r="M219" s="15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5"/>
      <c r="L220" s="15"/>
      <c r="M220" s="15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mergeCells count="16">
    <mergeCell ref="H43:I43"/>
    <mergeCell ref="H44:I44"/>
    <mergeCell ref="H45:I45"/>
    <mergeCell ref="H46:I46"/>
    <mergeCell ref="H47:I47"/>
    <mergeCell ref="H48:I48"/>
    <mergeCell ref="H49:I49"/>
    <mergeCell ref="H57:I57"/>
    <mergeCell ref="H58:I58"/>
    <mergeCell ref="H50:I50"/>
    <mergeCell ref="H51:I51"/>
    <mergeCell ref="H52:I52"/>
    <mergeCell ref="H53:I53"/>
    <mergeCell ref="H54:I54"/>
    <mergeCell ref="H55:I55"/>
    <mergeCell ref="H56:I5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37.5"/>
    <col customWidth="1" min="3" max="7" width="49.0"/>
  </cols>
  <sheetData>
    <row r="1">
      <c r="A1" s="17" t="s">
        <v>194</v>
      </c>
      <c r="B1" s="17" t="s">
        <v>195</v>
      </c>
      <c r="C1" s="17" t="s">
        <v>196</v>
      </c>
      <c r="D1" s="17" t="s">
        <v>4</v>
      </c>
      <c r="E1" s="17" t="s">
        <v>197</v>
      </c>
      <c r="F1" s="17" t="s">
        <v>198</v>
      </c>
      <c r="G1" s="17" t="s">
        <v>199</v>
      </c>
      <c r="H1" s="18"/>
      <c r="I1" s="18"/>
      <c r="J1" s="18"/>
      <c r="K1" s="18"/>
      <c r="L1" s="18"/>
      <c r="M1" s="18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" t="s">
        <v>200</v>
      </c>
      <c r="B2" s="3" t="s">
        <v>201</v>
      </c>
      <c r="C2" s="3" t="s">
        <v>202</v>
      </c>
      <c r="D2" s="20" t="s">
        <v>203</v>
      </c>
      <c r="E2" s="20" t="s">
        <v>204</v>
      </c>
      <c r="F2" s="20" t="s">
        <v>205</v>
      </c>
      <c r="G2" s="20" t="s">
        <v>206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" t="s">
        <v>207</v>
      </c>
      <c r="B3" s="3" t="s">
        <v>208</v>
      </c>
      <c r="C3" s="3" t="s">
        <v>209</v>
      </c>
      <c r="D3" s="20" t="s">
        <v>210</v>
      </c>
      <c r="E3" s="20" t="s">
        <v>211</v>
      </c>
      <c r="F3" s="20" t="s">
        <v>212</v>
      </c>
      <c r="G3" s="20" t="s">
        <v>213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0" t="s">
        <v>214</v>
      </c>
      <c r="B4" s="20" t="s">
        <v>215</v>
      </c>
      <c r="C4" s="20" t="s">
        <v>216</v>
      </c>
      <c r="D4" s="20" t="s">
        <v>217</v>
      </c>
      <c r="E4" s="20" t="s">
        <v>218</v>
      </c>
      <c r="F4" s="20" t="s">
        <v>219</v>
      </c>
      <c r="G4" s="20" t="s">
        <v>220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0" t="s">
        <v>221</v>
      </c>
      <c r="B5" s="20" t="s">
        <v>222</v>
      </c>
      <c r="C5" s="20" t="s">
        <v>223</v>
      </c>
      <c r="D5" s="20" t="s">
        <v>224</v>
      </c>
      <c r="E5" s="20" t="s">
        <v>225</v>
      </c>
      <c r="F5" s="20" t="s">
        <v>226</v>
      </c>
      <c r="G5" s="20" t="s">
        <v>227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5"/>
    <col customWidth="1" min="3" max="3" width="28.25"/>
    <col customWidth="1" hidden="1" min="4" max="4" width="18.5"/>
    <col customWidth="1" min="5" max="5" width="31.13"/>
    <col customWidth="1" min="6" max="6" width="38.0"/>
    <col customWidth="1" min="7" max="7" width="34.75"/>
    <col customWidth="1" min="8" max="8" width="14.5"/>
    <col customWidth="1" min="9" max="9" width="25.75"/>
    <col customWidth="1" min="10" max="10" width="19.38"/>
    <col customWidth="1" min="11" max="11" width="14.38"/>
  </cols>
  <sheetData>
    <row r="1">
      <c r="A1" s="21" t="s">
        <v>228</v>
      </c>
      <c r="B1" s="22" t="s">
        <v>229</v>
      </c>
      <c r="C1" s="22" t="s">
        <v>230</v>
      </c>
      <c r="D1" s="23" t="s">
        <v>196</v>
      </c>
      <c r="E1" s="24" t="s">
        <v>231</v>
      </c>
      <c r="F1" s="22" t="s">
        <v>232</v>
      </c>
      <c r="G1" s="22" t="s">
        <v>233</v>
      </c>
      <c r="H1" s="24" t="s">
        <v>234</v>
      </c>
      <c r="I1" s="24" t="s">
        <v>235</v>
      </c>
      <c r="J1" s="23" t="s">
        <v>236</v>
      </c>
      <c r="K1" s="23" t="s">
        <v>237</v>
      </c>
      <c r="L1" s="23" t="s">
        <v>238</v>
      </c>
      <c r="M1" s="23" t="s">
        <v>239</v>
      </c>
      <c r="N1" s="23" t="s">
        <v>240</v>
      </c>
      <c r="O1" s="25"/>
      <c r="P1" s="26"/>
      <c r="Q1" s="26"/>
      <c r="R1" s="26"/>
      <c r="S1" s="26"/>
      <c r="T1" s="26"/>
    </row>
    <row r="2">
      <c r="A2" s="27" t="s">
        <v>241</v>
      </c>
      <c r="B2" s="28" t="str">
        <f t="array" ref="B2">INDEX('ELI Data File'!I:I, MATCH(A2, 'ELI Data File'!A:A, 0))</f>
        <v>Customer Management</v>
      </c>
      <c r="C2" s="28" t="str">
        <f t="array" ref="C2">INDEX('ELI Data File'!J:J, MATCH(A2, 'ELI Data File'!A:A, 0))</f>
        <v>Manage Customers</v>
      </c>
      <c r="D2" s="29" t="str">
        <f t="array" ref="D2">INDEX('ELI Data File'!M:M, MATCH(A2, 'ELI Data File'!A:A, 0))</f>
        <v>As a Sales user, I want to create a customer profile so that orders can be associated with the correct legal and billing entity.</v>
      </c>
      <c r="E2" s="30" t="str">
        <f t="array" ref="E2">INDEX('ELI Data File'!H:H, MATCH(A2, 'ELI Data File'!A:A, 0))</f>
        <v>Sales / Account Management</v>
      </c>
      <c r="F2" s="28" t="str">
        <f>IFERROR(__xludf.DUMMYFUNCTION("AI(""Extract the Goal from the description""&amp;D2)"),"create a customer profile")</f>
        <v>create a customer profile</v>
      </c>
      <c r="G2" s="28" t="str">
        <f>IFERROR(__xludf.DUMMYFUNCTION("AI(""Extract the Value from the description""&amp;D2)"),"orders can be associated with the correct legal and billing entity.")</f>
        <v>orders can be associated with the correct legal and billing entity.</v>
      </c>
      <c r="H2" s="31" t="str">
        <f t="array" ref="H2">INDEX('ELI Data File'!D:D, MATCH(A2, 'ELI Data File'!A:A, 0))</f>
        <v>PH-01</v>
      </c>
      <c r="I2" s="29"/>
      <c r="J2" s="32" t="str">
        <f t="array" ref="J2">INDEX('ELI Data File'!O:O, MATCH(A2, 'ELI Data File'!A:A, 0))</f>
        <v>Medium</v>
      </c>
      <c r="K2" s="33">
        <f t="array" ref="K2">INDEX('ELI Data File'!P:P, MATCH(A2, 'ELI Data File'!A:A, 0))*4</f>
        <v>12</v>
      </c>
      <c r="L2" s="33">
        <f t="shared" ref="L2:L84" si="1">ROUNDUP(K2*0.2,0)</f>
        <v>3</v>
      </c>
      <c r="M2" s="33">
        <v>1.0</v>
      </c>
      <c r="N2" s="33">
        <f t="shared" ref="N2:N84" si="2">SUM(K2:M2)</f>
        <v>16</v>
      </c>
      <c r="O2" s="25"/>
      <c r="P2" s="26"/>
      <c r="Q2" s="26"/>
      <c r="R2" s="26"/>
      <c r="S2" s="26"/>
      <c r="T2" s="26"/>
    </row>
    <row r="3">
      <c r="A3" s="34" t="s">
        <v>242</v>
      </c>
      <c r="B3" s="35" t="str">
        <f t="array" ref="B3">INDEX('ELI Data File'!I:I, MATCH(A3, 'ELI Data File'!A:A, 0))</f>
        <v>Customer Management</v>
      </c>
      <c r="C3" s="35" t="str">
        <f t="array" ref="C3">INDEX('ELI Data File'!J:J, MATCH(A3, 'ELI Data File'!A:A, 0))</f>
        <v>Manage Customers</v>
      </c>
      <c r="D3" s="36" t="str">
        <f t="array" ref="D3">INDEX('ELI Data File'!M:M, MATCH(A3, 'ELI Data File'!A:A, 0))</f>
        <v>As a Sales user, I want to update customer details so changes are reflected in future orders.</v>
      </c>
      <c r="E3" s="37" t="str">
        <f t="array" ref="E3">INDEX('ELI Data File'!H:H, MATCH(A3, 'ELI Data File'!A:A, 0))</f>
        <v>Sales / Account Management</v>
      </c>
      <c r="F3" s="35" t="str">
        <f>IFERROR(__xludf.DUMMYFUNCTION("AI(""Extract the Goal from the description""&amp;D3)"),"update customer details")</f>
        <v>update customer details</v>
      </c>
      <c r="G3" s="35" t="str">
        <f>IFERROR(__xludf.DUMMYFUNCTION("AI(""Extract the Value from the description""&amp;D3)"),"changes are reflected in future orders")</f>
        <v>changes are reflected in future orders</v>
      </c>
      <c r="H3" s="38" t="str">
        <f t="array" ref="H3">INDEX('ELI Data File'!D:D, MATCH(A3, 'ELI Data File'!A:A, 0))</f>
        <v>PH-01</v>
      </c>
      <c r="I3" s="36"/>
      <c r="J3" s="39" t="str">
        <f t="array" ref="J3">INDEX('ELI Data File'!O:O, MATCH(A3, 'ELI Data File'!A:A, 0))</f>
        <v>Medium</v>
      </c>
      <c r="K3" s="40">
        <f t="array" ref="K3">INDEX('ELI Data File'!P:P, MATCH(A3, 'ELI Data File'!A:A, 0))*4</f>
        <v>12</v>
      </c>
      <c r="L3" s="41">
        <f t="shared" si="1"/>
        <v>3</v>
      </c>
      <c r="M3" s="41">
        <f t="shared" ref="M3:M84" si="3">ROUNDDOWN(SUM(K3:L3)/3,0)</f>
        <v>5</v>
      </c>
      <c r="N3" s="41">
        <f t="shared" si="2"/>
        <v>20</v>
      </c>
      <c r="O3" s="25"/>
      <c r="P3" s="26"/>
      <c r="Q3" s="26"/>
      <c r="R3" s="26"/>
      <c r="S3" s="26"/>
      <c r="T3" s="26"/>
    </row>
    <row r="4">
      <c r="A4" s="27" t="s">
        <v>243</v>
      </c>
      <c r="B4" s="28" t="str">
        <f t="array" ref="B4">INDEX('ELI Data File'!I:I, MATCH(A4, 'ELI Data File'!A:A, 0))</f>
        <v>Customer Management</v>
      </c>
      <c r="C4" s="28" t="str">
        <f t="array" ref="C4">INDEX('ELI Data File'!J:J, MATCH(A4, 'ELI Data File'!A:A, 0))</f>
        <v>Manage Customers</v>
      </c>
      <c r="D4" s="29" t="str">
        <f t="array" ref="D4">INDEX('ELI Data File'!M:M, MATCH(A4, 'ELI Data File'!A:A, 0))</f>
        <v>As an Ops user, I want to search customers quickly so I can validate order context without manual lookup.</v>
      </c>
      <c r="E4" s="30" t="str">
        <f t="array" ref="E4">INDEX('ELI Data File'!H:H, MATCH(A4, 'ELI Data File'!A:A, 0))</f>
        <v>Operations / Order Management</v>
      </c>
      <c r="F4" s="28" t="str">
        <f>IFERROR(__xludf.DUMMYFUNCTION("AI(""Extract the Goal from the description""&amp;D4)"),"search customers quickly")</f>
        <v>search customers quickly</v>
      </c>
      <c r="G4" s="28" t="str">
        <f>IFERROR(__xludf.DUMMYFUNCTION("AI(""Extract the Value from the description""&amp;D4)"),"validate order context without manual lookup.")</f>
        <v>validate order context without manual lookup.</v>
      </c>
      <c r="H4" s="31" t="str">
        <f t="array" ref="H4">INDEX('ELI Data File'!D:D, MATCH(A4, 'ELI Data File'!A:A, 0))</f>
        <v>PH-01</v>
      </c>
      <c r="I4" s="29"/>
      <c r="J4" s="32" t="str">
        <f t="array" ref="J4">INDEX('ELI Data File'!O:O, MATCH(A4, 'ELI Data File'!A:A, 0))</f>
        <v>Medium</v>
      </c>
      <c r="K4" s="33">
        <f t="array" ref="K4">INDEX('ELI Data File'!P:P, MATCH(A4, 'ELI Data File'!A:A, 0))*4</f>
        <v>12</v>
      </c>
      <c r="L4" s="33">
        <f t="shared" si="1"/>
        <v>3</v>
      </c>
      <c r="M4" s="33">
        <f t="shared" si="3"/>
        <v>5</v>
      </c>
      <c r="N4" s="33">
        <f t="shared" si="2"/>
        <v>20</v>
      </c>
      <c r="O4" s="25"/>
      <c r="P4" s="26"/>
      <c r="Q4" s="26"/>
      <c r="R4" s="26"/>
      <c r="S4" s="26"/>
      <c r="T4" s="26"/>
    </row>
    <row r="5">
      <c r="A5" s="34" t="s">
        <v>244</v>
      </c>
      <c r="B5" s="35" t="str">
        <f t="array" ref="B5">INDEX('ELI Data File'!I:I, MATCH(A5, 'ELI Data File'!A:A, 0))</f>
        <v>Customer Management</v>
      </c>
      <c r="C5" s="35" t="str">
        <f t="array" ref="C5">INDEX('ELI Data File'!J:J, MATCH(A5, 'ELI Data File'!A:A, 0))</f>
        <v>Associate Contracts to Customers</v>
      </c>
      <c r="D5" s="36" t="str">
        <f t="array" ref="D5">INDEX('ELI Data File'!M:M, MATCH(A5, 'ELI Data File'!A:A, 0))</f>
        <v>As an Admin, I want to associate an active contract to a customer so pricing and terms are enforced at order time.</v>
      </c>
      <c r="E5" s="37" t="str">
        <f t="array" ref="E5">INDEX('ELI Data File'!H:H, MATCH(A5, 'ELI Data File'!A:A, 0))</f>
        <v>Finance / Compliance / Admin</v>
      </c>
      <c r="F5" s="35" t="str">
        <f>IFERROR(__xludf.DUMMYFUNCTION("AI(""Extract the Goal from the description""&amp;D5)"),"associate an active contract to a customer")</f>
        <v>associate an active contract to a customer</v>
      </c>
      <c r="G5" s="35" t="str">
        <f>IFERROR(__xludf.DUMMYFUNCTION("AI(""Extract the Value from the description""&amp;D5)"),"pricing and terms are enforced at order time.")</f>
        <v>pricing and terms are enforced at order time.</v>
      </c>
      <c r="H5" s="38" t="str">
        <f t="array" ref="H5">INDEX('ELI Data File'!D:D, MATCH(A5, 'ELI Data File'!A:A, 0))</f>
        <v>PH-01</v>
      </c>
      <c r="I5" s="36"/>
      <c r="J5" s="39" t="str">
        <f t="array" ref="J5">INDEX('ELI Data File'!O:O, MATCH(A5, 'ELI Data File'!A:A, 0))</f>
        <v>Medium</v>
      </c>
      <c r="K5" s="40">
        <f t="array" ref="K5">INDEX('ELI Data File'!P:P, MATCH(A5, 'ELI Data File'!A:A, 0))*4</f>
        <v>12</v>
      </c>
      <c r="L5" s="41">
        <f t="shared" si="1"/>
        <v>3</v>
      </c>
      <c r="M5" s="41">
        <f t="shared" si="3"/>
        <v>5</v>
      </c>
      <c r="N5" s="41">
        <f t="shared" si="2"/>
        <v>20</v>
      </c>
      <c r="O5" s="25"/>
      <c r="P5" s="26"/>
      <c r="Q5" s="26"/>
      <c r="R5" s="26"/>
      <c r="S5" s="26"/>
      <c r="T5" s="26"/>
    </row>
    <row r="6">
      <c r="A6" s="27" t="s">
        <v>245</v>
      </c>
      <c r="B6" s="28" t="str">
        <f t="array" ref="B6">INDEX('ELI Data File'!I:I, MATCH(A6, 'ELI Data File'!A:A, 0))</f>
        <v>Customer Management</v>
      </c>
      <c r="C6" s="28" t="str">
        <f t="array" ref="C6">INDEX('ELI Data File'!J:J, MATCH(A6, 'ELI Data File'!A:A, 0))</f>
        <v>Associate Contracts to Customers</v>
      </c>
      <c r="D6" s="29" t="str">
        <f t="array" ref="D6">INDEX('ELI Data File'!M:M, MATCH(A6, 'ELI Data File'!A:A, 0))</f>
        <v>As Finance, I want to prevent orders for customers without active contracts to avoid uncontrolled pricing.</v>
      </c>
      <c r="E6" s="30" t="str">
        <f t="array" ref="E6">INDEX('ELI Data File'!H:H, MATCH(A6, 'ELI Data File'!A:A, 0))</f>
        <v>Finance / Compliance / Admin</v>
      </c>
      <c r="F6" s="28" t="str">
        <f>IFERROR(__xludf.DUMMYFUNCTION("AI(""Extract the Goal from the description""&amp;D6)"),"prevent orders for customers without active contracts")</f>
        <v>prevent orders for customers without active contracts</v>
      </c>
      <c r="G6" s="28" t="str">
        <f>IFERROR(__xludf.DUMMYFUNCTION("AI(""Extract the Value from the description""&amp;D6)"),"avoid uncontrolled pricing")</f>
        <v>avoid uncontrolled pricing</v>
      </c>
      <c r="H6" s="31" t="str">
        <f t="array" ref="H6">INDEX('ELI Data File'!D:D, MATCH(A6, 'ELI Data File'!A:A, 0))</f>
        <v>PH-01</v>
      </c>
      <c r="I6" s="29"/>
      <c r="J6" s="32" t="str">
        <f t="array" ref="J6">INDEX('ELI Data File'!O:O, MATCH(A6, 'ELI Data File'!A:A, 0))</f>
        <v>Medium</v>
      </c>
      <c r="K6" s="33">
        <f t="array" ref="K6">INDEX('ELI Data File'!P:P, MATCH(A6, 'ELI Data File'!A:A, 0))*4</f>
        <v>12</v>
      </c>
      <c r="L6" s="33">
        <f t="shared" si="1"/>
        <v>3</v>
      </c>
      <c r="M6" s="33">
        <f t="shared" si="3"/>
        <v>5</v>
      </c>
      <c r="N6" s="33">
        <f t="shared" si="2"/>
        <v>20</v>
      </c>
      <c r="O6" s="25"/>
      <c r="P6" s="26"/>
      <c r="Q6" s="26"/>
      <c r="R6" s="26"/>
      <c r="S6" s="26"/>
      <c r="T6" s="26"/>
    </row>
    <row r="7">
      <c r="A7" s="34" t="s">
        <v>246</v>
      </c>
      <c r="B7" s="35" t="str">
        <f t="array" ref="B7">INDEX('ELI Data File'!I:I, MATCH(A7, 'ELI Data File'!A:A, 0))</f>
        <v>Customer Management</v>
      </c>
      <c r="C7" s="35" t="str">
        <f t="array" ref="C7">INDEX('ELI Data File'!J:J, MATCH(A7, 'ELI Data File'!A:A, 0))</f>
        <v>Associate Contracts to Customers</v>
      </c>
      <c r="D7" s="36" t="str">
        <f t="array" ref="D7">INDEX('ELI Data File'!M:M, MATCH(A7, 'ELI Data File'!A:A, 0))</f>
        <v>As Finance, I want to view contract assignment history so audits do not rely on spreadsheets.</v>
      </c>
      <c r="E7" s="37" t="str">
        <f t="array" ref="E7">INDEX('ELI Data File'!H:H, MATCH(A7, 'ELI Data File'!A:A, 0))</f>
        <v>Finance / Compliance / Admin</v>
      </c>
      <c r="F7" s="35" t="str">
        <f>IFERROR(__xludf.DUMMYFUNCTION("AI(""Extract the Goal from the description""&amp;D7)"),"view contract assignment history")</f>
        <v>view contract assignment history</v>
      </c>
      <c r="G7" s="35" t="str">
        <f>IFERROR(__xludf.DUMMYFUNCTION("AI(""Extract the Value from the description""&amp;D7)"),"audits do not rely on spreadsheets.")</f>
        <v>audits do not rely on spreadsheets.</v>
      </c>
      <c r="H7" s="38" t="str">
        <f t="array" ref="H7">INDEX('ELI Data File'!D:D, MATCH(A7, 'ELI Data File'!A:A, 0))</f>
        <v>PH-01</v>
      </c>
      <c r="I7" s="36"/>
      <c r="J7" s="39" t="str">
        <f t="array" ref="J7">INDEX('ELI Data File'!O:O, MATCH(A7, 'ELI Data File'!A:A, 0))</f>
        <v>Medium</v>
      </c>
      <c r="K7" s="40">
        <f t="array" ref="K7">INDEX('ELI Data File'!P:P, MATCH(A7, 'ELI Data File'!A:A, 0))*4</f>
        <v>12</v>
      </c>
      <c r="L7" s="40">
        <f t="shared" si="1"/>
        <v>3</v>
      </c>
      <c r="M7" s="40">
        <f t="shared" si="3"/>
        <v>5</v>
      </c>
      <c r="N7" s="40">
        <f t="shared" si="2"/>
        <v>20</v>
      </c>
      <c r="O7" s="25"/>
      <c r="P7" s="26"/>
      <c r="Q7" s="26"/>
      <c r="R7" s="26"/>
      <c r="S7" s="26"/>
      <c r="T7" s="26"/>
    </row>
    <row r="8">
      <c r="A8" s="27" t="s">
        <v>247</v>
      </c>
      <c r="B8" s="28" t="str">
        <f t="array" ref="B8">INDEX('ELI Data File'!I:I, MATCH(A8, 'ELI Data File'!A:A, 0))</f>
        <v>Customer Management</v>
      </c>
      <c r="C8" s="28" t="str">
        <f t="array" ref="C8">INDEX('ELI Data File'!J:J, MATCH(A8, 'ELI Data File'!A:A, 0))</f>
        <v>Manage Customer Compliance Requirements</v>
      </c>
      <c r="D8" s="29" t="str">
        <f t="array" ref="D8">INDEX('ELI Data File'!M:M, MATCH(A8, 'ELI Data File'!A:A, 0))</f>
        <v>As a Compliance admin, I want to define customer-specific compliance rules so non-compliant orders are blocked.</v>
      </c>
      <c r="E8" s="30" t="str">
        <f t="array" ref="E8">INDEX('ELI Data File'!H:H, MATCH(A8, 'ELI Data File'!A:A, 0))</f>
        <v>Finance / Compliance / Admin</v>
      </c>
      <c r="F8" s="28" t="str">
        <f>IFERROR(__xludf.DUMMYFUNCTION("AI(""Extract the Goal from the description""&amp;D8)"),"define customer-specific compliance rules")</f>
        <v>define customer-specific compliance rules</v>
      </c>
      <c r="G8" s="28" t="str">
        <f>IFERROR(__xludf.DUMMYFUNCTION("AI(""Extract the Value from the description""&amp;D8)"),"non-compliant orders are blocked.")</f>
        <v>non-compliant orders are blocked.</v>
      </c>
      <c r="H8" s="31" t="str">
        <f t="array" ref="H8">INDEX('ELI Data File'!D:D, MATCH(A8, 'ELI Data File'!A:A, 0))</f>
        <v>PH-01</v>
      </c>
      <c r="I8" s="29"/>
      <c r="J8" s="32" t="str">
        <f t="array" ref="J8">INDEX('ELI Data File'!O:O, MATCH(A8, 'ELI Data File'!A:A, 0))</f>
        <v>Medium</v>
      </c>
      <c r="K8" s="33">
        <f t="array" ref="K8">INDEX('ELI Data File'!P:P, MATCH(A8, 'ELI Data File'!A:A, 0))*4</f>
        <v>12</v>
      </c>
      <c r="L8" s="33">
        <f t="shared" si="1"/>
        <v>3</v>
      </c>
      <c r="M8" s="33">
        <f t="shared" si="3"/>
        <v>5</v>
      </c>
      <c r="N8" s="33">
        <f t="shared" si="2"/>
        <v>20</v>
      </c>
      <c r="O8" s="25"/>
      <c r="P8" s="26"/>
      <c r="Q8" s="26"/>
      <c r="R8" s="26"/>
      <c r="S8" s="26"/>
      <c r="T8" s="26"/>
    </row>
    <row r="9">
      <c r="A9" s="34" t="s">
        <v>248</v>
      </c>
      <c r="B9" s="35" t="str">
        <f t="array" ref="B9">INDEX('ELI Data File'!I:I, MATCH(A9, 'ELI Data File'!A:A, 0))</f>
        <v>Customer Management</v>
      </c>
      <c r="C9" s="35" t="str">
        <f t="array" ref="C9">INDEX('ELI Data File'!J:J, MATCH(A9, 'ELI Data File'!A:A, 0))</f>
        <v>Manage Customer Compliance Requirements</v>
      </c>
      <c r="D9" s="36" t="str">
        <f t="array" ref="D9">INDEX('ELI Data File'!M:M, MATCH(A9, 'ELI Data File'!A:A, 0))</f>
        <v>As Ops, I want compliance rules evaluated automatically so I don’t interpret regulations manually.</v>
      </c>
      <c r="E9" s="37" t="str">
        <f t="array" ref="E9">INDEX('ELI Data File'!H:H, MATCH(A9, 'ELI Data File'!A:A, 0))</f>
        <v>Operations / Order Management</v>
      </c>
      <c r="F9" s="35" t="str">
        <f>IFERROR(__xludf.DUMMYFUNCTION("AI(""Extract the Goal from the description""&amp;D9)"),"compliance rules evaluated automatically")</f>
        <v>compliance rules evaluated automatically</v>
      </c>
      <c r="G9" s="35" t="str">
        <f>IFERROR(__xludf.DUMMYFUNCTION("AI(""Extract the Value from the description""&amp;D9)"),"I don’t interpret regulations manually.")</f>
        <v>I don’t interpret regulations manually.</v>
      </c>
      <c r="H9" s="38" t="str">
        <f t="array" ref="H9">INDEX('ELI Data File'!D:D, MATCH(A9, 'ELI Data File'!A:A, 0))</f>
        <v>PH-01</v>
      </c>
      <c r="I9" s="36"/>
      <c r="J9" s="39" t="str">
        <f t="array" ref="J9">INDEX('ELI Data File'!O:O, MATCH(A9, 'ELI Data File'!A:A, 0))</f>
        <v>Medium</v>
      </c>
      <c r="K9" s="40">
        <f t="array" ref="K9">INDEX('ELI Data File'!P:P, MATCH(A9, 'ELI Data File'!A:A, 0))*4</f>
        <v>12</v>
      </c>
      <c r="L9" s="40">
        <f t="shared" si="1"/>
        <v>3</v>
      </c>
      <c r="M9" s="40">
        <f t="shared" si="3"/>
        <v>5</v>
      </c>
      <c r="N9" s="40">
        <f t="shared" si="2"/>
        <v>20</v>
      </c>
      <c r="O9" s="25"/>
      <c r="P9" s="26"/>
      <c r="Q9" s="26"/>
      <c r="R9" s="26"/>
      <c r="S9" s="26"/>
      <c r="T9" s="26"/>
    </row>
    <row r="10">
      <c r="A10" s="27" t="s">
        <v>249</v>
      </c>
      <c r="B10" s="28" t="str">
        <f t="array" ref="B10">INDEX('ELI Data File'!I:I, MATCH(A10, 'ELI Data File'!A:A, 0))</f>
        <v>Customer Management</v>
      </c>
      <c r="C10" s="28" t="str">
        <f t="array" ref="C10">INDEX('ELI Data File'!J:J, MATCH(A10, 'ELI Data File'!A:A, 0))</f>
        <v>Manage Customer Compliance Requirements</v>
      </c>
      <c r="D10" s="29" t="str">
        <f t="array" ref="D10">INDEX('ELI Data File'!M:M, MATCH(A10, 'ELI Data File'!A:A, 0))</f>
        <v>As Compliance, I want an audit trail of compliance decisions so regulatory reviews are defensible.</v>
      </c>
      <c r="E10" s="30" t="str">
        <f t="array" ref="E10">INDEX('ELI Data File'!H:H, MATCH(A10, 'ELI Data File'!A:A, 0))</f>
        <v>Finance / Compliance / Admin</v>
      </c>
      <c r="F10" s="28" t="str">
        <f>IFERROR(__xludf.DUMMYFUNCTION("AI(""Extract the Goal from the description""&amp;D10)"),"want an audit trail of compliance decisions")</f>
        <v>want an audit trail of compliance decisions</v>
      </c>
      <c r="G10" s="28" t="str">
        <f>IFERROR(__xludf.DUMMYFUNCTION("AI(""Extract the Value from the description""&amp;D10)"),"regulatory reviews are defensible")</f>
        <v>regulatory reviews are defensible</v>
      </c>
      <c r="H10" s="31" t="str">
        <f t="array" ref="H10">INDEX('ELI Data File'!D:D, MATCH(A10, 'ELI Data File'!A:A, 0))</f>
        <v>PH-01</v>
      </c>
      <c r="I10" s="29"/>
      <c r="J10" s="32" t="str">
        <f t="array" ref="J10">INDEX('ELI Data File'!O:O, MATCH(A10, 'ELI Data File'!A:A, 0))</f>
        <v>Medium</v>
      </c>
      <c r="K10" s="33">
        <f t="array" ref="K10">INDEX('ELI Data File'!P:P, MATCH(A10, 'ELI Data File'!A:A, 0))*4</f>
        <v>12</v>
      </c>
      <c r="L10" s="33">
        <f t="shared" si="1"/>
        <v>3</v>
      </c>
      <c r="M10" s="33">
        <f t="shared" si="3"/>
        <v>5</v>
      </c>
      <c r="N10" s="33">
        <f t="shared" si="2"/>
        <v>20</v>
      </c>
      <c r="O10" s="25"/>
      <c r="P10" s="26"/>
      <c r="Q10" s="26"/>
      <c r="R10" s="26"/>
      <c r="S10" s="26"/>
      <c r="T10" s="26"/>
    </row>
    <row r="11">
      <c r="A11" s="34" t="s">
        <v>250</v>
      </c>
      <c r="B11" s="35" t="str">
        <f t="array" ref="B11">INDEX('ELI Data File'!I:I, MATCH(A11, 'ELI Data File'!A:A, 0))</f>
        <v>Inventory Management</v>
      </c>
      <c r="C11" s="35" t="str">
        <f t="array" ref="C11">INDEX('ELI Data File'!J:J, MATCH(A11, 'ELI Data File'!A:A, 0))</f>
        <v>Manage Inventory</v>
      </c>
      <c r="D11" s="36" t="str">
        <f t="array" ref="D11">INDEX('ELI Data File'!M:M, MATCH(A11, 'ELI Data File'!A:A, 0))</f>
        <v>As an Ops user, I want to view real-time inventory levels so I can make accurate fulfillment decisions.</v>
      </c>
      <c r="E11" s="37" t="str">
        <f t="array" ref="E11">INDEX('ELI Data File'!H:H, MATCH(A11, 'ELI Data File'!A:A, 0))</f>
        <v>Operations / Order Management</v>
      </c>
      <c r="F11" s="35" t="str">
        <f>IFERROR(__xludf.DUMMYFUNCTION("AI(""Extract the Goal from the description""&amp;D11)"),"view real-time inventory levels")</f>
        <v>view real-time inventory levels</v>
      </c>
      <c r="G11" s="35" t="str">
        <f>IFERROR(__xludf.DUMMYFUNCTION("AI(""Extract the Value from the description""&amp;D11)"),"so I can make accurate fulfillment decisions.")</f>
        <v>so I can make accurate fulfillment decisions.</v>
      </c>
      <c r="H11" s="38" t="str">
        <f t="array" ref="H11">INDEX('ELI Data File'!D:D, MATCH(A11, 'ELI Data File'!A:A, 0))</f>
        <v>PH-01</v>
      </c>
      <c r="I11" s="36"/>
      <c r="J11" s="39" t="str">
        <f t="array" ref="J11">INDEX('ELI Data File'!O:O, MATCH(A11, 'ELI Data File'!A:A, 0))</f>
        <v>Medium</v>
      </c>
      <c r="K11" s="40">
        <f t="array" ref="K11">INDEX('ELI Data File'!P:P, MATCH(A11, 'ELI Data File'!A:A, 0))*4</f>
        <v>12</v>
      </c>
      <c r="L11" s="40">
        <f t="shared" si="1"/>
        <v>3</v>
      </c>
      <c r="M11" s="40">
        <f t="shared" si="3"/>
        <v>5</v>
      </c>
      <c r="N11" s="40">
        <f t="shared" si="2"/>
        <v>20</v>
      </c>
      <c r="O11" s="25"/>
      <c r="P11" s="26"/>
      <c r="Q11" s="26"/>
      <c r="R11" s="26"/>
      <c r="S11" s="26"/>
      <c r="T11" s="26"/>
    </row>
    <row r="12">
      <c r="A12" s="27" t="s">
        <v>251</v>
      </c>
      <c r="B12" s="28" t="str">
        <f t="array" ref="B12">INDEX('ELI Data File'!I:I, MATCH(A12, 'ELI Data File'!A:A, 0))</f>
        <v>Inventory Management</v>
      </c>
      <c r="C12" s="28" t="str">
        <f t="array" ref="C12">INDEX('ELI Data File'!J:J, MATCH(A12, 'ELI Data File'!A:A, 0))</f>
        <v>Manage Inventory</v>
      </c>
      <c r="D12" s="29" t="str">
        <f t="array" ref="D12">INDEX('ELI Data File'!M:M, MATCH(A12, 'ELI Data File'!A:A, 0))</f>
        <v>As a Warehouse user, I want to adjust inventory quantities so physical discrepancies are reflected in the system.</v>
      </c>
      <c r="E12" s="30" t="str">
        <f t="array" ref="E12">INDEX('ELI Data File'!H:H, MATCH(A12, 'ELI Data File'!A:A, 0))</f>
        <v>Warehouse &amp; Fulfillment</v>
      </c>
      <c r="F12" s="28" t="str">
        <f>IFERROR(__xludf.DUMMYFUNCTION("AI(""Extract the Goal from the description""&amp;D12)"),"adjust inventory quantities")</f>
        <v>adjust inventory quantities</v>
      </c>
      <c r="G12" s="28" t="str">
        <f>IFERROR(__xludf.DUMMYFUNCTION("AI(""Extract the Value from the description""&amp;D12)"),"physical discrepancies are reflected in the system.")</f>
        <v>physical discrepancies are reflected in the system.</v>
      </c>
      <c r="H12" s="31" t="str">
        <f t="array" ref="H12">INDEX('ELI Data File'!D:D, MATCH(A12, 'ELI Data File'!A:A, 0))</f>
        <v>PH-01</v>
      </c>
      <c r="I12" s="29"/>
      <c r="J12" s="32" t="str">
        <f t="array" ref="J12">INDEX('ELI Data File'!O:O, MATCH(A12, 'ELI Data File'!A:A, 0))</f>
        <v>Medium</v>
      </c>
      <c r="K12" s="33">
        <f t="array" ref="K12">INDEX('ELI Data File'!P:P, MATCH(A12, 'ELI Data File'!A:A, 0))*4</f>
        <v>12</v>
      </c>
      <c r="L12" s="33">
        <f t="shared" si="1"/>
        <v>3</v>
      </c>
      <c r="M12" s="33">
        <f t="shared" si="3"/>
        <v>5</v>
      </c>
      <c r="N12" s="33">
        <f t="shared" si="2"/>
        <v>20</v>
      </c>
      <c r="O12" s="25"/>
      <c r="P12" s="26"/>
      <c r="Q12" s="26"/>
      <c r="R12" s="26"/>
      <c r="S12" s="26"/>
      <c r="T12" s="26"/>
    </row>
    <row r="13">
      <c r="A13" s="34" t="s">
        <v>252</v>
      </c>
      <c r="B13" s="35" t="str">
        <f t="array" ref="B13">INDEX('ELI Data File'!I:I, MATCH(A13, 'ELI Data File'!A:A, 0))</f>
        <v>Inventory Management</v>
      </c>
      <c r="C13" s="35" t="str">
        <f t="array" ref="C13">INDEX('ELI Data File'!J:J, MATCH(A13, 'ELI Data File'!A:A, 0))</f>
        <v>Manage Inventory</v>
      </c>
      <c r="D13" s="36" t="str">
        <f t="array" ref="D13">INDEX('ELI Data File'!M:M, MATCH(A13, 'ELI Data File'!A:A, 0))</f>
        <v>As a Warehouse user, I want to receive inventory so newly arrived stock becomes available for allocation.</v>
      </c>
      <c r="E13" s="37" t="str">
        <f t="array" ref="E13">INDEX('ELI Data File'!H:H, MATCH(A13, 'ELI Data File'!A:A, 0))</f>
        <v>Warehouse &amp; Fulfillment</v>
      </c>
      <c r="F13" s="35" t="str">
        <f>IFERROR(__xludf.DUMMYFUNCTION("AI(""Extract the Goal from the description""&amp;D13)"),"receive inventory")</f>
        <v>receive inventory</v>
      </c>
      <c r="G13" s="35" t="str">
        <f>IFERROR(__xludf.DUMMYFUNCTION("AI(""Extract the Value from the description""&amp;D13)"),"newly arrived stock becomes available for allocation.")</f>
        <v>newly arrived stock becomes available for allocation.</v>
      </c>
      <c r="H13" s="38" t="str">
        <f t="array" ref="H13">INDEX('ELI Data File'!D:D, MATCH(A13, 'ELI Data File'!A:A, 0))</f>
        <v>PH-01</v>
      </c>
      <c r="I13" s="36"/>
      <c r="J13" s="39" t="str">
        <f t="array" ref="J13">INDEX('ELI Data File'!O:O, MATCH(A13, 'ELI Data File'!A:A, 0))</f>
        <v>Medium</v>
      </c>
      <c r="K13" s="40">
        <f t="array" ref="K13">INDEX('ELI Data File'!P:P, MATCH(A13, 'ELI Data File'!A:A, 0))*4</f>
        <v>12</v>
      </c>
      <c r="L13" s="40">
        <f t="shared" si="1"/>
        <v>3</v>
      </c>
      <c r="M13" s="40">
        <f t="shared" si="3"/>
        <v>5</v>
      </c>
      <c r="N13" s="40">
        <f t="shared" si="2"/>
        <v>20</v>
      </c>
      <c r="O13" s="25"/>
      <c r="P13" s="26"/>
      <c r="Q13" s="26"/>
      <c r="R13" s="26"/>
      <c r="S13" s="26"/>
      <c r="T13" s="26"/>
    </row>
    <row r="14">
      <c r="A14" s="27" t="s">
        <v>253</v>
      </c>
      <c r="B14" s="28" t="str">
        <f t="array" ref="B14">INDEX('ELI Data File'!I:I, MATCH(A14, 'ELI Data File'!A:A, 0))</f>
        <v>Inventory Management</v>
      </c>
      <c r="C14" s="28" t="str">
        <f t="array" ref="C14">INDEX('ELI Data File'!J:J, MATCH(A14, 'ELI Data File'!A:A, 0))</f>
        <v>Track Inventory Availability Across Sources</v>
      </c>
      <c r="D14" s="29" t="str">
        <f t="array" ref="D14">INDEX('ELI Data File'!M:M, MATCH(A14, 'ELI Data File'!A:A, 0))</f>
        <v>As Ops, I want to see inventory across all warehouses so I can plan multi-location fulfillment.</v>
      </c>
      <c r="E14" s="30" t="str">
        <f t="array" ref="E14">INDEX('ELI Data File'!H:H, MATCH(A14, 'ELI Data File'!A:A, 0))</f>
        <v>Operations / Order Management</v>
      </c>
      <c r="F14" s="28" t="str">
        <f>IFERROR(__xludf.DUMMYFUNCTION("AI(""Extract the Goal from the description""&amp;D14)"),"see inventory across all warehouses")</f>
        <v>see inventory across all warehouses</v>
      </c>
      <c r="G14" s="28" t="str">
        <f>IFERROR(__xludf.DUMMYFUNCTION("AI(""Extract the Value from the description""&amp;D14)"),"plan multi-location fulfillment.")</f>
        <v>plan multi-location fulfillment.</v>
      </c>
      <c r="H14" s="31" t="str">
        <f t="array" ref="H14">INDEX('ELI Data File'!D:D, MATCH(A14, 'ELI Data File'!A:A, 0))</f>
        <v>PH-01</v>
      </c>
      <c r="I14" s="29"/>
      <c r="J14" s="32" t="str">
        <f t="array" ref="J14">INDEX('ELI Data File'!O:O, MATCH(A14, 'ELI Data File'!A:A, 0))</f>
        <v>Medium</v>
      </c>
      <c r="K14" s="33">
        <f t="array" ref="K14">INDEX('ELI Data File'!P:P, MATCH(A14, 'ELI Data File'!A:A, 0))*4</f>
        <v>12</v>
      </c>
      <c r="L14" s="33">
        <f t="shared" si="1"/>
        <v>3</v>
      </c>
      <c r="M14" s="33">
        <f t="shared" si="3"/>
        <v>5</v>
      </c>
      <c r="N14" s="33">
        <f t="shared" si="2"/>
        <v>20</v>
      </c>
      <c r="O14" s="25"/>
      <c r="P14" s="26"/>
      <c r="Q14" s="26"/>
      <c r="R14" s="26"/>
      <c r="S14" s="26"/>
      <c r="T14" s="26"/>
    </row>
    <row r="15">
      <c r="A15" s="34" t="s">
        <v>254</v>
      </c>
      <c r="B15" s="35" t="str">
        <f t="array" ref="B15">INDEX('ELI Data File'!I:I, MATCH(A15, 'ELI Data File'!A:A, 0))</f>
        <v>Inventory Management</v>
      </c>
      <c r="C15" s="35" t="str">
        <f t="array" ref="C15">INDEX('ELI Data File'!J:J, MATCH(A15, 'ELI Data File'!A:A, 0))</f>
        <v>Track Inventory Availability Across Sources</v>
      </c>
      <c r="D15" s="36" t="str">
        <f t="array" ref="D15">INDEX('ELI Data File'!M:M, MATCH(A15, 'ELI Data File'!A:A, 0))</f>
        <v>As Ops, I want vendor-supplied availability included so out-of-stock items can still be sourced compliantly.</v>
      </c>
      <c r="E15" s="37" t="str">
        <f t="array" ref="E15">INDEX('ELI Data File'!H:H, MATCH(A15, 'ELI Data File'!A:A, 0))</f>
        <v>Operations / Order Management</v>
      </c>
      <c r="F15" s="35" t="str">
        <f>IFERROR(__xludf.DUMMYFUNCTION("AI(""Extract the Goal from the description""&amp;D15)"),"include vendor-supplied availability")</f>
        <v>include vendor-supplied availability</v>
      </c>
      <c r="G15" s="35" t="str">
        <f>IFERROR(__xludf.DUMMYFUNCTION("AI(""Extract the Value from the description""&amp;D15)"),"so out-of-stock items can still be sourced compliantly.")</f>
        <v>so out-of-stock items can still be sourced compliantly.</v>
      </c>
      <c r="H15" s="38" t="str">
        <f t="array" ref="H15">INDEX('ELI Data File'!D:D, MATCH(A15, 'ELI Data File'!A:A, 0))</f>
        <v>PH-01</v>
      </c>
      <c r="I15" s="36"/>
      <c r="J15" s="39" t="str">
        <f t="array" ref="J15">INDEX('ELI Data File'!O:O, MATCH(A15, 'ELI Data File'!A:A, 0))</f>
        <v>Medium</v>
      </c>
      <c r="K15" s="40">
        <f t="array" ref="K15">INDEX('ELI Data File'!P:P, MATCH(A15, 'ELI Data File'!A:A, 0))*4</f>
        <v>12</v>
      </c>
      <c r="L15" s="40">
        <f t="shared" si="1"/>
        <v>3</v>
      </c>
      <c r="M15" s="40">
        <f t="shared" si="3"/>
        <v>5</v>
      </c>
      <c r="N15" s="40">
        <f t="shared" si="2"/>
        <v>20</v>
      </c>
      <c r="O15" s="25"/>
      <c r="P15" s="26"/>
      <c r="Q15" s="26"/>
      <c r="R15" s="26"/>
      <c r="S15" s="26"/>
      <c r="T15" s="26"/>
    </row>
    <row r="16">
      <c r="A16" s="27" t="s">
        <v>255</v>
      </c>
      <c r="B16" s="28" t="str">
        <f t="array" ref="B16">INDEX('ELI Data File'!I:I, MATCH(A16, 'ELI Data File'!A:A, 0))</f>
        <v>Inventory Management</v>
      </c>
      <c r="C16" s="28" t="str">
        <f t="array" ref="C16">INDEX('ELI Data File'!J:J, MATCH(A16, 'ELI Data File'!A:A, 0))</f>
        <v>Track Inventory Availability Across Sources</v>
      </c>
      <c r="D16" s="29" t="str">
        <f t="array" ref="D16">INDEX('ELI Data File'!M:M, MATCH(A16, 'ELI Data File'!A:A, 0))</f>
        <v>As Finance, I want to distinguish allocatable inventory from informational stock so financial exposure is controlled.</v>
      </c>
      <c r="E16" s="30" t="str">
        <f t="array" ref="E16">INDEX('ELI Data File'!H:H, MATCH(A16, 'ELI Data File'!A:A, 0))</f>
        <v>Finance / Compliance / Admin</v>
      </c>
      <c r="F16" s="28" t="str">
        <f>IFERROR(__xludf.DUMMYFUNCTION("AI(""Extract the Goal from the description""&amp;D16)"),"distinguish allocatable inventory from informational stock")</f>
        <v>distinguish allocatable inventory from informational stock</v>
      </c>
      <c r="G16" s="28" t="str">
        <f>IFERROR(__xludf.DUMMYFUNCTION("AI(""Extract the Value from the description""&amp;D16)"),"financial exposure is controlled.")</f>
        <v>financial exposure is controlled.</v>
      </c>
      <c r="H16" s="31" t="str">
        <f t="array" ref="H16">INDEX('ELI Data File'!D:D, MATCH(A16, 'ELI Data File'!A:A, 0))</f>
        <v>PH-01</v>
      </c>
      <c r="I16" s="29"/>
      <c r="J16" s="32" t="str">
        <f t="array" ref="J16">INDEX('ELI Data File'!O:O, MATCH(A16, 'ELI Data File'!A:A, 0))</f>
        <v>Medium</v>
      </c>
      <c r="K16" s="33">
        <f t="array" ref="K16">INDEX('ELI Data File'!P:P, MATCH(A16, 'ELI Data File'!A:A, 0))*4</f>
        <v>12</v>
      </c>
      <c r="L16" s="33">
        <f t="shared" si="1"/>
        <v>3</v>
      </c>
      <c r="M16" s="33">
        <f t="shared" si="3"/>
        <v>5</v>
      </c>
      <c r="N16" s="33">
        <f t="shared" si="2"/>
        <v>20</v>
      </c>
      <c r="O16" s="25"/>
      <c r="P16" s="26"/>
      <c r="Q16" s="26"/>
      <c r="R16" s="26"/>
      <c r="S16" s="26"/>
      <c r="T16" s="26"/>
    </row>
    <row r="17">
      <c r="A17" s="34" t="s">
        <v>256</v>
      </c>
      <c r="B17" s="35" t="str">
        <f t="array" ref="B17">INDEX('ELI Data File'!I:I, MATCH(A17, 'ELI Data File'!A:A, 0))</f>
        <v>Inventory Management</v>
      </c>
      <c r="C17" s="35" t="str">
        <f t="array" ref="C17">INDEX('ELI Data File'!J:J, MATCH(A17, 'ELI Data File'!A:A, 0))</f>
        <v>Allocate Inventory to Orders</v>
      </c>
      <c r="D17" s="36" t="str">
        <f t="array" ref="D17">INDEX('ELI Data File'!M:M, MATCH(A17, 'ELI Data File'!A:A, 0))</f>
        <v>As Ops, I want to reserve inventory so stock is protected for committed orders.</v>
      </c>
      <c r="E17" s="37" t="str">
        <f t="array" ref="E17">INDEX('ELI Data File'!H:H, MATCH(A17, 'ELI Data File'!A:A, 0))</f>
        <v>Operations / Order Management</v>
      </c>
      <c r="F17" s="35" t="str">
        <f>IFERROR(__xludf.DUMMYFUNCTION("AI(""Extract the Goal from the description""&amp;D17)"),"reserve inventory")</f>
        <v>reserve inventory</v>
      </c>
      <c r="G17" s="35" t="str">
        <f>IFERROR(__xludf.DUMMYFUNCTION("AI(""Extract the Value from the description""&amp;D17)"),"stock is protected for committed orders.")</f>
        <v>stock is protected for committed orders.</v>
      </c>
      <c r="H17" s="38" t="str">
        <f t="array" ref="H17">INDEX('ELI Data File'!D:D, MATCH(A17, 'ELI Data File'!A:A, 0))</f>
        <v>PH-01</v>
      </c>
      <c r="I17" s="36"/>
      <c r="J17" s="39" t="str">
        <f t="array" ref="J17">INDEX('ELI Data File'!O:O, MATCH(A17, 'ELI Data File'!A:A, 0))</f>
        <v>Medium</v>
      </c>
      <c r="K17" s="40">
        <f t="array" ref="K17">INDEX('ELI Data File'!P:P, MATCH(A17, 'ELI Data File'!A:A, 0))*4</f>
        <v>12</v>
      </c>
      <c r="L17" s="40">
        <f t="shared" si="1"/>
        <v>3</v>
      </c>
      <c r="M17" s="40">
        <f t="shared" si="3"/>
        <v>5</v>
      </c>
      <c r="N17" s="40">
        <f t="shared" si="2"/>
        <v>20</v>
      </c>
      <c r="O17" s="25"/>
      <c r="P17" s="26"/>
      <c r="Q17" s="26"/>
      <c r="R17" s="26"/>
      <c r="S17" s="26"/>
      <c r="T17" s="26"/>
    </row>
    <row r="18">
      <c r="A18" s="27" t="s">
        <v>257</v>
      </c>
      <c r="B18" s="28" t="str">
        <f t="array" ref="B18">INDEX('ELI Data File'!I:I, MATCH(A18, 'ELI Data File'!A:A, 0))</f>
        <v>Inventory Management</v>
      </c>
      <c r="C18" s="28" t="str">
        <f t="array" ref="C18">INDEX('ELI Data File'!J:J, MATCH(A18, 'ELI Data File'!A:A, 0))</f>
        <v>Allocate Inventory to Orders</v>
      </c>
      <c r="D18" s="29" t="str">
        <f t="array" ref="D18">INDEX('ELI Data File'!M:M, MATCH(A18, 'ELI Data File'!A:A, 0))</f>
        <v>As Ops, I want reserved inventory released when an order is canceled so stock is reusable.</v>
      </c>
      <c r="E18" s="30" t="str">
        <f t="array" ref="E18">INDEX('ELI Data File'!H:H, MATCH(A18, 'ELI Data File'!A:A, 0))</f>
        <v>Operations / Order Management</v>
      </c>
      <c r="F18" s="28" t="str">
        <f>IFERROR(__xludf.DUMMYFUNCTION("AI(""Extract the Goal from the description""&amp;D18)"),"reserved inventory released when an order is canceled")</f>
        <v>reserved inventory released when an order is canceled</v>
      </c>
      <c r="G18" s="28" t="str">
        <f>IFERROR(__xludf.DUMMYFUNCTION("AI(""Extract the Value from the description""&amp;D18)"),"stock is reusable")</f>
        <v>stock is reusable</v>
      </c>
      <c r="H18" s="31" t="str">
        <f t="array" ref="H18">INDEX('ELI Data File'!D:D, MATCH(A18, 'ELI Data File'!A:A, 0))</f>
        <v>PH-01</v>
      </c>
      <c r="I18" s="29"/>
      <c r="J18" s="32" t="str">
        <f t="array" ref="J18">INDEX('ELI Data File'!O:O, MATCH(A18, 'ELI Data File'!A:A, 0))</f>
        <v>Medium</v>
      </c>
      <c r="K18" s="33">
        <f t="array" ref="K18">INDEX('ELI Data File'!P:P, MATCH(A18, 'ELI Data File'!A:A, 0))*4</f>
        <v>12</v>
      </c>
      <c r="L18" s="33">
        <f t="shared" si="1"/>
        <v>3</v>
      </c>
      <c r="M18" s="33">
        <f t="shared" si="3"/>
        <v>5</v>
      </c>
      <c r="N18" s="33">
        <f t="shared" si="2"/>
        <v>20</v>
      </c>
      <c r="O18" s="25"/>
      <c r="P18" s="26"/>
      <c r="Q18" s="26"/>
      <c r="R18" s="26"/>
      <c r="S18" s="26"/>
      <c r="T18" s="26"/>
    </row>
    <row r="19">
      <c r="A19" s="34" t="s">
        <v>258</v>
      </c>
      <c r="B19" s="35" t="str">
        <f t="array" ref="B19">INDEX('ELI Data File'!I:I, MATCH(A19, 'ELI Data File'!A:A, 0))</f>
        <v>Inventory Management</v>
      </c>
      <c r="C19" s="35" t="str">
        <f t="array" ref="C19">INDEX('ELI Data File'!J:J, MATCH(A19, 'ELI Data File'!A:A, 0))</f>
        <v>Allocate Inventory to Orders</v>
      </c>
      <c r="D19" s="36" t="str">
        <f t="array" ref="D19">INDEX('ELI Data File'!M:M, MATCH(A19, 'ELI Data File'!A:A, 0))</f>
        <v>As Ops, I want inventory reallocated when orders change so fulfillment remains accurate.</v>
      </c>
      <c r="E19" s="37" t="str">
        <f t="array" ref="E19">INDEX('ELI Data File'!H:H, MATCH(A19, 'ELI Data File'!A:A, 0))</f>
        <v>Operations / Order Management</v>
      </c>
      <c r="F19" s="35" t="str">
        <f>IFERROR(__xludf.DUMMYFUNCTION("AI(""Extract the Goal from the description""&amp;D19)"),"I want inventory reallocated when orders change")</f>
        <v>I want inventory reallocated when orders change</v>
      </c>
      <c r="G19" s="35" t="str">
        <f>IFERROR(__xludf.DUMMYFUNCTION("AI(""Extract the Value from the description""&amp;D19)"),"fulfillment remains accurate")</f>
        <v>fulfillment remains accurate</v>
      </c>
      <c r="H19" s="38" t="str">
        <f t="array" ref="H19">INDEX('ELI Data File'!D:D, MATCH(A19, 'ELI Data File'!A:A, 0))</f>
        <v>PH-01</v>
      </c>
      <c r="I19" s="36"/>
      <c r="J19" s="39" t="str">
        <f t="array" ref="J19">INDEX('ELI Data File'!O:O, MATCH(A19, 'ELI Data File'!A:A, 0))</f>
        <v>Medium</v>
      </c>
      <c r="K19" s="40">
        <f t="array" ref="K19">INDEX('ELI Data File'!P:P, MATCH(A19, 'ELI Data File'!A:A, 0))*4</f>
        <v>12</v>
      </c>
      <c r="L19" s="40">
        <f t="shared" si="1"/>
        <v>3</v>
      </c>
      <c r="M19" s="40">
        <f t="shared" si="3"/>
        <v>5</v>
      </c>
      <c r="N19" s="40">
        <f t="shared" si="2"/>
        <v>20</v>
      </c>
      <c r="O19" s="25"/>
      <c r="P19" s="26"/>
      <c r="Q19" s="26"/>
      <c r="R19" s="26"/>
      <c r="S19" s="26"/>
      <c r="T19" s="26"/>
    </row>
    <row r="20">
      <c r="A20" s="27" t="s">
        <v>259</v>
      </c>
      <c r="B20" s="28" t="str">
        <f t="array" ref="B20">INDEX('ELI Data File'!I:I, MATCH(A20, 'ELI Data File'!A:A, 0))</f>
        <v>Order Management</v>
      </c>
      <c r="C20" s="28" t="str">
        <f t="array" ref="C20">INDEX('ELI Data File'!J:J, MATCH(A20, 'ELI Data File'!A:A, 0))</f>
        <v>Create Sales Order</v>
      </c>
      <c r="D20" s="29" t="str">
        <f t="array" ref="D20">INDEX('ELI Data File'!M:M, MATCH(A20, 'ELI Data File'!A:A, 0))</f>
        <v>As a Sales user, I want to create a sales order tied to a customer so contract pricing and rules are applied automatically.</v>
      </c>
      <c r="E20" s="30" t="str">
        <f t="array" ref="E20">INDEX('ELI Data File'!H:H, MATCH(A20, 'ELI Data File'!A:A, 0))</f>
        <v>Sales / Account Management</v>
      </c>
      <c r="F20" s="28" t="str">
        <f>IFERROR(__xludf.DUMMYFUNCTION("AI(""Extract the Goal from the description""&amp;D20)"),"create a sales order tied to a customer")</f>
        <v>create a sales order tied to a customer</v>
      </c>
      <c r="G20" s="28" t="str">
        <f>IFERROR(__xludf.DUMMYFUNCTION("AI(""Extract the Value from the description""&amp;D20)"),"contract pricing and rules are applied automatically.")</f>
        <v>contract pricing and rules are applied automatically.</v>
      </c>
      <c r="H20" s="31" t="str">
        <f t="array" ref="H20">INDEX('ELI Data File'!D:D, MATCH(A20, 'ELI Data File'!A:A, 0))</f>
        <v>PH-01</v>
      </c>
      <c r="I20" s="29"/>
      <c r="J20" s="32" t="str">
        <f t="array" ref="J20">INDEX('ELI Data File'!O:O, MATCH(A20, 'ELI Data File'!A:A, 0))</f>
        <v>Medium</v>
      </c>
      <c r="K20" s="33">
        <f t="array" ref="K20">INDEX('ELI Data File'!P:P, MATCH(A20, 'ELI Data File'!A:A, 0))*4</f>
        <v>12</v>
      </c>
      <c r="L20" s="33">
        <f t="shared" si="1"/>
        <v>3</v>
      </c>
      <c r="M20" s="33">
        <f t="shared" si="3"/>
        <v>5</v>
      </c>
      <c r="N20" s="33">
        <f t="shared" si="2"/>
        <v>20</v>
      </c>
      <c r="O20" s="25"/>
      <c r="P20" s="26"/>
      <c r="Q20" s="26"/>
      <c r="R20" s="26"/>
      <c r="S20" s="26"/>
      <c r="T20" s="26"/>
    </row>
    <row r="21">
      <c r="A21" s="34" t="s">
        <v>260</v>
      </c>
      <c r="B21" s="35" t="str">
        <f t="array" ref="B21">INDEX('ELI Data File'!I:I, MATCH(A21, 'ELI Data File'!A:A, 0))</f>
        <v>Order Management</v>
      </c>
      <c r="C21" s="35" t="str">
        <f t="array" ref="C21">INDEX('ELI Data File'!J:J, MATCH(A21, 'ELI Data File'!A:A, 0))</f>
        <v>Create Sales Order</v>
      </c>
      <c r="D21" s="36" t="str">
        <f t="array" ref="D21">INDEX('ELI Data File'!M:M, MATCH(A21, 'ELI Data File'!A:A, 0))</f>
        <v>As a Sales user, I want required order data validated so incomplete orders cannot proceed.</v>
      </c>
      <c r="E21" s="37" t="str">
        <f t="array" ref="E21">INDEX('ELI Data File'!H:H, MATCH(A21, 'ELI Data File'!A:A, 0))</f>
        <v>Sales / Account Management</v>
      </c>
      <c r="F21" s="35" t="str">
        <f>IFERROR(__xludf.DUMMYFUNCTION("AI(""Extract the Goal from the description""&amp;D21)"),"required order data validated")</f>
        <v>required order data validated</v>
      </c>
      <c r="G21" s="35" t="str">
        <f>IFERROR(__xludf.DUMMYFUNCTION("AI(""Extract the Value from the description""&amp;D21)"),"incomplete orders cannot proceed.")</f>
        <v>incomplete orders cannot proceed.</v>
      </c>
      <c r="H21" s="38" t="str">
        <f t="array" ref="H21">INDEX('ELI Data File'!D:D, MATCH(A21, 'ELI Data File'!A:A, 0))</f>
        <v>PH-01</v>
      </c>
      <c r="I21" s="36"/>
      <c r="J21" s="39" t="str">
        <f t="array" ref="J21">INDEX('ELI Data File'!O:O, MATCH(A21, 'ELI Data File'!A:A, 0))</f>
        <v>Medium</v>
      </c>
      <c r="K21" s="40">
        <f t="array" ref="K21">INDEX('ELI Data File'!P:P, MATCH(A21, 'ELI Data File'!A:A, 0))*4</f>
        <v>12</v>
      </c>
      <c r="L21" s="40">
        <f t="shared" si="1"/>
        <v>3</v>
      </c>
      <c r="M21" s="40">
        <f t="shared" si="3"/>
        <v>5</v>
      </c>
      <c r="N21" s="40">
        <f t="shared" si="2"/>
        <v>20</v>
      </c>
      <c r="O21" s="25"/>
      <c r="P21" s="26"/>
      <c r="Q21" s="26"/>
      <c r="R21" s="26"/>
      <c r="S21" s="26"/>
      <c r="T21" s="26"/>
    </row>
    <row r="22">
      <c r="A22" s="27" t="s">
        <v>261</v>
      </c>
      <c r="B22" s="28" t="str">
        <f t="array" ref="B22">INDEX('ELI Data File'!I:I, MATCH(A22, 'ELI Data File'!A:A, 0))</f>
        <v>Order Management</v>
      </c>
      <c r="C22" s="28" t="str">
        <f t="array" ref="C22">INDEX('ELI Data File'!J:J, MATCH(A22, 'ELI Data File'!A:A, 0))</f>
        <v>Create Sales Order</v>
      </c>
      <c r="D22" s="29" t="str">
        <f t="array" ref="D22">INDEX('ELI Data File'!M:M, MATCH(A22, 'ELI Data File'!A:A, 0))</f>
        <v>As a Sales user, I want to preview pricing so I can confirm totals before submitting the order.</v>
      </c>
      <c r="E22" s="30" t="str">
        <f t="array" ref="E22">INDEX('ELI Data File'!H:H, MATCH(A22, 'ELI Data File'!A:A, 0))</f>
        <v>Sales / Account Management</v>
      </c>
      <c r="F22" s="28" t="str">
        <f>IFERROR(__xludf.DUMMYFUNCTION("AI(""Extract the Goal from the description""&amp;D22)"),"preview pricing")</f>
        <v>preview pricing</v>
      </c>
      <c r="G22" s="28" t="str">
        <f>IFERROR(__xludf.DUMMYFUNCTION("AI(""Extract the Value from the description""&amp;D22)"),"confirm totals before submitting the order.")</f>
        <v>confirm totals before submitting the order.</v>
      </c>
      <c r="H22" s="31" t="str">
        <f t="array" ref="H22">INDEX('ELI Data File'!D:D, MATCH(A22, 'ELI Data File'!A:A, 0))</f>
        <v>PH-01</v>
      </c>
      <c r="I22" s="29"/>
      <c r="J22" s="32" t="str">
        <f t="array" ref="J22">INDEX('ELI Data File'!O:O, MATCH(A22, 'ELI Data File'!A:A, 0))</f>
        <v>Medium</v>
      </c>
      <c r="K22" s="33">
        <f t="array" ref="K22">INDEX('ELI Data File'!P:P, MATCH(A22, 'ELI Data File'!A:A, 0))*4</f>
        <v>12</v>
      </c>
      <c r="L22" s="33">
        <f t="shared" si="1"/>
        <v>3</v>
      </c>
      <c r="M22" s="33">
        <f t="shared" si="3"/>
        <v>5</v>
      </c>
      <c r="N22" s="33">
        <f t="shared" si="2"/>
        <v>20</v>
      </c>
      <c r="O22" s="25"/>
      <c r="P22" s="26"/>
      <c r="Q22" s="26"/>
      <c r="R22" s="26"/>
      <c r="S22" s="26"/>
      <c r="T22" s="26"/>
    </row>
    <row r="23">
      <c r="A23" s="34" t="s">
        <v>262</v>
      </c>
      <c r="B23" s="35" t="str">
        <f t="array" ref="B23">INDEX('ELI Data File'!I:I, MATCH(A23, 'ELI Data File'!A:A, 0))</f>
        <v>Order Management</v>
      </c>
      <c r="C23" s="35" t="str">
        <f t="array" ref="C23">INDEX('ELI Data File'!J:J, MATCH(A23, 'ELI Data File'!A:A, 0))</f>
        <v>Evaluate Contract Pricing &amp; Terms</v>
      </c>
      <c r="D23" s="36" t="str">
        <f t="array" ref="D23">INDEX('ELI Data File'!M:M, MATCH(A23, 'ELI Data File'!A:A, 0))</f>
        <v>As Finance, I want tiered pricing applied automatically so pricing is consistent and auditable.</v>
      </c>
      <c r="E23" s="37" t="str">
        <f t="array" ref="E23">INDEX('ELI Data File'!H:H, MATCH(A23, 'ELI Data File'!A:A, 0))</f>
        <v>Finance / Compliance / Admin</v>
      </c>
      <c r="F23" s="35" t="str">
        <f>IFERROR(__xludf.DUMMYFUNCTION("AI(""Extract the Goal from the description""&amp;D23)"),"apply tiered pricing automatically")</f>
        <v>apply tiered pricing automatically</v>
      </c>
      <c r="G23" s="35" t="str">
        <f>IFERROR(__xludf.DUMMYFUNCTION("AI(""Extract the Value from the description""&amp;D23)"),"pricing is consistent and auditable.")</f>
        <v>pricing is consistent and auditable.</v>
      </c>
      <c r="H23" s="38" t="str">
        <f t="array" ref="H23">INDEX('ELI Data File'!D:D, MATCH(A23, 'ELI Data File'!A:A, 0))</f>
        <v>PH-01</v>
      </c>
      <c r="I23" s="36"/>
      <c r="J23" s="39" t="str">
        <f t="array" ref="J23">INDEX('ELI Data File'!O:O, MATCH(A23, 'ELI Data File'!A:A, 0))</f>
        <v>Medium</v>
      </c>
      <c r="K23" s="40">
        <f t="array" ref="K23">INDEX('ELI Data File'!P:P, MATCH(A23, 'ELI Data File'!A:A, 0))*4</f>
        <v>12</v>
      </c>
      <c r="L23" s="40">
        <f t="shared" si="1"/>
        <v>3</v>
      </c>
      <c r="M23" s="40">
        <f t="shared" si="3"/>
        <v>5</v>
      </c>
      <c r="N23" s="40">
        <f t="shared" si="2"/>
        <v>20</v>
      </c>
      <c r="O23" s="25"/>
      <c r="P23" s="26"/>
      <c r="Q23" s="26"/>
      <c r="R23" s="26"/>
      <c r="S23" s="26"/>
      <c r="T23" s="26"/>
    </row>
    <row r="24">
      <c r="A24" s="27" t="s">
        <v>263</v>
      </c>
      <c r="B24" s="28" t="str">
        <f t="array" ref="B24">INDEX('ELI Data File'!I:I, MATCH(A24, 'ELI Data File'!A:A, 0))</f>
        <v>Order Management</v>
      </c>
      <c r="C24" s="28" t="str">
        <f t="array" ref="C24">INDEX('ELI Data File'!J:J, MATCH(A24, 'ELI Data File'!A:A, 0))</f>
        <v>Evaluate Contract Pricing &amp; Terms</v>
      </c>
      <c r="D24" s="29" t="str">
        <f t="array" ref="D24">INDEX('ELI Data File'!M:M, MATCH(A24, 'ELI Data File'!A:A, 0))</f>
        <v>As Finance, I want rebates and penalties enforced so margins and commitments are protected.</v>
      </c>
      <c r="E24" s="30" t="str">
        <f t="array" ref="E24">INDEX('ELI Data File'!H:H, MATCH(A24, 'ELI Data File'!A:A, 0))</f>
        <v>Finance / Compliance / Admin</v>
      </c>
      <c r="F24" s="28" t="str">
        <f>IFERROR(__xludf.DUMMYFUNCTION("AI(""Extract the Goal from the description""&amp;D24)"),"rebates and penalties enforced")</f>
        <v>rebates and penalties enforced</v>
      </c>
      <c r="G24" s="28" t="str">
        <f>IFERROR(__xludf.DUMMYFUNCTION("AI(""Extract the Value from the description""&amp;D24)"),"margins and commitments are protected.")</f>
        <v>margins and commitments are protected.</v>
      </c>
      <c r="H24" s="31" t="str">
        <f t="array" ref="H24">INDEX('ELI Data File'!D:D, MATCH(A24, 'ELI Data File'!A:A, 0))</f>
        <v>PH-01</v>
      </c>
      <c r="I24" s="29"/>
      <c r="J24" s="32" t="str">
        <f t="array" ref="J24">INDEX('ELI Data File'!O:O, MATCH(A24, 'ELI Data File'!A:A, 0))</f>
        <v>Medium</v>
      </c>
      <c r="K24" s="33">
        <f t="array" ref="K24">INDEX('ELI Data File'!P:P, MATCH(A24, 'ELI Data File'!A:A, 0))*4</f>
        <v>12</v>
      </c>
      <c r="L24" s="33">
        <f t="shared" si="1"/>
        <v>3</v>
      </c>
      <c r="M24" s="33">
        <f t="shared" si="3"/>
        <v>5</v>
      </c>
      <c r="N24" s="33">
        <f t="shared" si="2"/>
        <v>20</v>
      </c>
      <c r="O24" s="25"/>
      <c r="P24" s="26"/>
      <c r="Q24" s="26"/>
      <c r="R24" s="26"/>
      <c r="S24" s="26"/>
      <c r="T24" s="26"/>
    </row>
    <row r="25">
      <c r="A25" s="34" t="s">
        <v>264</v>
      </c>
      <c r="B25" s="35" t="str">
        <f t="array" ref="B25">INDEX('ELI Data File'!I:I, MATCH(A25, 'ELI Data File'!A:A, 0))</f>
        <v>Order Management</v>
      </c>
      <c r="C25" s="35" t="str">
        <f t="array" ref="C25">INDEX('ELI Data File'!J:J, MATCH(A25, 'ELI Data File'!A:A, 0))</f>
        <v>Evaluate Contract Pricing &amp; Terms</v>
      </c>
      <c r="D25" s="36" t="str">
        <f t="array" ref="D25">INDEX('ELI Data File'!M:M, MATCH(A25, 'ELI Data File'!A:A, 0))</f>
        <v>As Ops, I want pricing recalculated when an order changes so pricing remains accurate.</v>
      </c>
      <c r="E25" s="37" t="str">
        <f t="array" ref="E25">INDEX('ELI Data File'!H:H, MATCH(A25, 'ELI Data File'!A:A, 0))</f>
        <v>Operations / Order Management</v>
      </c>
      <c r="F25" s="35" t="str">
        <f>IFERROR(__xludf.DUMMYFUNCTION("AI(""Extract the Goal from the description""&amp;D25)"),"recalculated when an order changes")</f>
        <v>recalculated when an order changes</v>
      </c>
      <c r="G25" s="35" t="str">
        <f>IFERROR(__xludf.DUMMYFUNCTION("AI(""Extract the Value from the description""&amp;D25)"),"pricing remains accurate.")</f>
        <v>pricing remains accurate.</v>
      </c>
      <c r="H25" s="38" t="str">
        <f t="array" ref="H25">INDEX('ELI Data File'!D:D, MATCH(A25, 'ELI Data File'!A:A, 0))</f>
        <v>PH-01</v>
      </c>
      <c r="I25" s="36"/>
      <c r="J25" s="39" t="str">
        <f t="array" ref="J25">INDEX('ELI Data File'!O:O, MATCH(A25, 'ELI Data File'!A:A, 0))</f>
        <v>Medium</v>
      </c>
      <c r="K25" s="40">
        <f t="array" ref="K25">INDEX('ELI Data File'!P:P, MATCH(A25, 'ELI Data File'!A:A, 0))*4</f>
        <v>12</v>
      </c>
      <c r="L25" s="40">
        <f t="shared" si="1"/>
        <v>3</v>
      </c>
      <c r="M25" s="40">
        <f t="shared" si="3"/>
        <v>5</v>
      </c>
      <c r="N25" s="40">
        <f t="shared" si="2"/>
        <v>20</v>
      </c>
      <c r="O25" s="25"/>
      <c r="P25" s="26"/>
      <c r="Q25" s="26"/>
      <c r="R25" s="26"/>
      <c r="S25" s="26"/>
      <c r="T25" s="26"/>
    </row>
    <row r="26">
      <c r="A26" s="27" t="s">
        <v>265</v>
      </c>
      <c r="B26" s="28" t="str">
        <f t="array" ref="B26">INDEX('ELI Data File'!I:I, MATCH(A26, 'ELI Data File'!A:A, 0))</f>
        <v>Order Management</v>
      </c>
      <c r="C26" s="28" t="str">
        <f t="array" ref="C26">INDEX('ELI Data File'!J:J, MATCH(A26, 'ELI Data File'!A:A, 0))</f>
        <v>Manage Sales Order Lifecycle</v>
      </c>
      <c r="D26" s="29" t="str">
        <f t="array" ref="D26">INDEX('ELI Data File'!M:M, MATCH(A26, 'ELI Data File'!A:A, 0))</f>
        <v>As Ops, I want to view order status so I can track progress without manual follow-up.</v>
      </c>
      <c r="E26" s="30" t="str">
        <f t="array" ref="E26">INDEX('ELI Data File'!H:H, MATCH(A26, 'ELI Data File'!A:A, 0))</f>
        <v>Operations / Order Management</v>
      </c>
      <c r="F26" s="28" t="str">
        <f>IFERROR(__xludf.DUMMYFUNCTION("AI(""Extract the Goal from the description""&amp;D26)"),"view order status")</f>
        <v>view order status</v>
      </c>
      <c r="G26" s="28" t="str">
        <f>IFERROR(__xludf.DUMMYFUNCTION("AI(""Extract the Value from the description""&amp;D26)"),"track progress without manual follow-up.")</f>
        <v>track progress without manual follow-up.</v>
      </c>
      <c r="H26" s="31" t="str">
        <f t="array" ref="H26">INDEX('ELI Data File'!D:D, MATCH(A26, 'ELI Data File'!A:A, 0))</f>
        <v>PH-01</v>
      </c>
      <c r="I26" s="29"/>
      <c r="J26" s="32" t="str">
        <f t="array" ref="J26">INDEX('ELI Data File'!O:O, MATCH(A26, 'ELI Data File'!A:A, 0))</f>
        <v>Medium</v>
      </c>
      <c r="K26" s="33">
        <f t="array" ref="K26">INDEX('ELI Data File'!P:P, MATCH(A26, 'ELI Data File'!A:A, 0))*4</f>
        <v>12</v>
      </c>
      <c r="L26" s="33">
        <f t="shared" si="1"/>
        <v>3</v>
      </c>
      <c r="M26" s="33">
        <f t="shared" si="3"/>
        <v>5</v>
      </c>
      <c r="N26" s="33">
        <f t="shared" si="2"/>
        <v>20</v>
      </c>
      <c r="O26" s="25"/>
      <c r="P26" s="26"/>
      <c r="Q26" s="26"/>
      <c r="R26" s="26"/>
      <c r="S26" s="26"/>
      <c r="T26" s="26"/>
    </row>
    <row r="27">
      <c r="A27" s="34" t="s">
        <v>266</v>
      </c>
      <c r="B27" s="35" t="str">
        <f t="array" ref="B27">INDEX('ELI Data File'!I:I, MATCH(A27, 'ELI Data File'!A:A, 0))</f>
        <v>Order Management</v>
      </c>
      <c r="C27" s="35" t="str">
        <f t="array" ref="C27">INDEX('ELI Data File'!J:J, MATCH(A27, 'ELI Data File'!A:A, 0))</f>
        <v>Manage Sales Order Lifecycle</v>
      </c>
      <c r="D27" s="36" t="str">
        <f t="array" ref="D27">INDEX('ELI Data File'!M:M, MATCH(A27, 'ELI Data File'!A:A, 0))</f>
        <v>As Ops, I want to update order status so downstream processes stay aligned.</v>
      </c>
      <c r="E27" s="37" t="str">
        <f t="array" ref="E27">INDEX('ELI Data File'!H:H, MATCH(A27, 'ELI Data File'!A:A, 0))</f>
        <v>Operations / Order Management</v>
      </c>
      <c r="F27" s="35" t="str">
        <f>IFERROR(__xludf.DUMMYFUNCTION("AI(""Extract the Goal from the description""&amp;D27)"),"update order status")</f>
        <v>update order status</v>
      </c>
      <c r="G27" s="35" t="str">
        <f>IFERROR(__xludf.DUMMYFUNCTION("AI(""Extract the Value from the description""&amp;D27)"),"downstream processes stay aligned")</f>
        <v>downstream processes stay aligned</v>
      </c>
      <c r="H27" s="38" t="str">
        <f t="array" ref="H27">INDEX('ELI Data File'!D:D, MATCH(A27, 'ELI Data File'!A:A, 0))</f>
        <v>PH-01</v>
      </c>
      <c r="I27" s="36"/>
      <c r="J27" s="39" t="str">
        <f t="array" ref="J27">INDEX('ELI Data File'!O:O, MATCH(A27, 'ELI Data File'!A:A, 0))</f>
        <v>Medium</v>
      </c>
      <c r="K27" s="40">
        <f t="array" ref="K27">INDEX('ELI Data File'!P:P, MATCH(A27, 'ELI Data File'!A:A, 0))*4</f>
        <v>12</v>
      </c>
      <c r="L27" s="40">
        <f t="shared" si="1"/>
        <v>3</v>
      </c>
      <c r="M27" s="40">
        <f t="shared" si="3"/>
        <v>5</v>
      </c>
      <c r="N27" s="40">
        <f t="shared" si="2"/>
        <v>20</v>
      </c>
      <c r="O27" s="25"/>
      <c r="P27" s="26"/>
      <c r="Q27" s="26"/>
      <c r="R27" s="26"/>
      <c r="S27" s="26"/>
      <c r="T27" s="26"/>
    </row>
    <row r="28">
      <c r="A28" s="27" t="s">
        <v>267</v>
      </c>
      <c r="B28" s="28" t="str">
        <f t="array" ref="B28">INDEX('ELI Data File'!I:I, MATCH(A28, 'ELI Data File'!A:A, 0))</f>
        <v>Order Management</v>
      </c>
      <c r="C28" s="28" t="str">
        <f t="array" ref="C28">INDEX('ELI Data File'!J:J, MATCH(A28, 'ELI Data File'!A:A, 0))</f>
        <v>Manage Sales Order Lifecycle</v>
      </c>
      <c r="D28" s="29" t="str">
        <f t="array" ref="D28">INDEX('ELI Data File'!M:M, MATCH(A28, 'ELI Data File'!A:A, 0))</f>
        <v>As Sales, I want to cancel an order so inventory and commitments are released correctly.</v>
      </c>
      <c r="E28" s="30" t="str">
        <f t="array" ref="E28">INDEX('ELI Data File'!H:H, MATCH(A28, 'ELI Data File'!A:A, 0))</f>
        <v>Sales / Account Management</v>
      </c>
      <c r="F28" s="28" t="str">
        <f>IFERROR(__xludf.DUMMYFUNCTION("AI(""Extract the Goal from the description""&amp;D28)"),"cancel an order")</f>
        <v>cancel an order</v>
      </c>
      <c r="G28" s="28" t="str">
        <f>IFERROR(__xludf.DUMMYFUNCTION("AI(""Extract the Value from the description""&amp;D28)"),"inventory and commitments are released correctly.")</f>
        <v>inventory and commitments are released correctly.</v>
      </c>
      <c r="H28" s="31" t="str">
        <f t="array" ref="H28">INDEX('ELI Data File'!D:D, MATCH(A28, 'ELI Data File'!A:A, 0))</f>
        <v>PH-01</v>
      </c>
      <c r="I28" s="29"/>
      <c r="J28" s="32" t="str">
        <f t="array" ref="J28">INDEX('ELI Data File'!O:O, MATCH(A28, 'ELI Data File'!A:A, 0))</f>
        <v>Medium</v>
      </c>
      <c r="K28" s="33">
        <f t="array" ref="K28">INDEX('ELI Data File'!P:P, MATCH(A28, 'ELI Data File'!A:A, 0))*4</f>
        <v>12</v>
      </c>
      <c r="L28" s="33">
        <f t="shared" si="1"/>
        <v>3</v>
      </c>
      <c r="M28" s="33">
        <f t="shared" si="3"/>
        <v>5</v>
      </c>
      <c r="N28" s="33">
        <f t="shared" si="2"/>
        <v>20</v>
      </c>
      <c r="O28" s="25"/>
      <c r="P28" s="26"/>
      <c r="Q28" s="26"/>
      <c r="R28" s="26"/>
      <c r="S28" s="26"/>
      <c r="T28" s="26"/>
    </row>
    <row r="29">
      <c r="A29" s="34" t="s">
        <v>268</v>
      </c>
      <c r="B29" s="35" t="str">
        <f t="array" ref="B29">INDEX('ELI Data File'!I:I, MATCH(A29, 'ELI Data File'!A:A, 0))</f>
        <v>Order Management</v>
      </c>
      <c r="C29" s="35" t="str">
        <f t="array" ref="C29">INDEX('ELI Data File'!J:J, MATCH(A29, 'ELI Data File'!A:A, 0))</f>
        <v>Approve Order Exceptions &amp; Overrides</v>
      </c>
      <c r="D29" s="36" t="str">
        <f t="array" ref="D29">INDEX('ELI Data File'!M:M, MATCH(A29, 'ELI Data File'!A:A, 0))</f>
        <v>As Finance, I want orders that exceed thresholds routed for approval so risk is controlled.</v>
      </c>
      <c r="E29" s="37" t="str">
        <f t="array" ref="E29">INDEX('ELI Data File'!H:H, MATCH(A29, 'ELI Data File'!A:A, 0))</f>
        <v>Finance / Compliance / Admin</v>
      </c>
      <c r="F29" s="35" t="str">
        <f>IFERROR(__xludf.DUMMYFUNCTION("AI(""Extract the Goal from the description""&amp;D29)"),"orders that exceed thresholds routed for approval")</f>
        <v>orders that exceed thresholds routed for approval</v>
      </c>
      <c r="G29" s="35" t="str">
        <f>IFERROR(__xludf.DUMMYFUNCTION("AI(""Extract the Value from the description""&amp;D29)"),"risk is controlled")</f>
        <v>risk is controlled</v>
      </c>
      <c r="H29" s="38" t="str">
        <f t="array" ref="H29">INDEX('ELI Data File'!D:D, MATCH(A29, 'ELI Data File'!A:A, 0))</f>
        <v>PH-01</v>
      </c>
      <c r="I29" s="36"/>
      <c r="J29" s="39" t="str">
        <f t="array" ref="J29">INDEX('ELI Data File'!O:O, MATCH(A29, 'ELI Data File'!A:A, 0))</f>
        <v>Medium</v>
      </c>
      <c r="K29" s="40">
        <f t="array" ref="K29">INDEX('ELI Data File'!P:P, MATCH(A29, 'ELI Data File'!A:A, 0))*4</f>
        <v>12</v>
      </c>
      <c r="L29" s="40">
        <f t="shared" si="1"/>
        <v>3</v>
      </c>
      <c r="M29" s="40">
        <f t="shared" si="3"/>
        <v>5</v>
      </c>
      <c r="N29" s="40">
        <f t="shared" si="2"/>
        <v>20</v>
      </c>
      <c r="O29" s="25"/>
      <c r="P29" s="26"/>
      <c r="Q29" s="26"/>
      <c r="R29" s="26"/>
      <c r="S29" s="26"/>
      <c r="T29" s="26"/>
    </row>
    <row r="30">
      <c r="A30" s="27" t="s">
        <v>269</v>
      </c>
      <c r="B30" s="28" t="str">
        <f t="array" ref="B30">INDEX('ELI Data File'!I:I, MATCH(A30, 'ELI Data File'!A:A, 0))</f>
        <v>Order Management</v>
      </c>
      <c r="C30" s="28" t="str">
        <f t="array" ref="C30">INDEX('ELI Data File'!J:J, MATCH(A30, 'ELI Data File'!A:A, 0))</f>
        <v>Approve Order Exceptions &amp; Overrides</v>
      </c>
      <c r="D30" s="29" t="str">
        <f t="array" ref="D30">INDEX('ELI Data File'!M:M, MATCH(A30, 'ELI Data File'!A:A, 0))</f>
        <v>As Finance, I want to approve or reject exceptions so decisions are explicit and traceable.</v>
      </c>
      <c r="E30" s="30" t="str">
        <f t="array" ref="E30">INDEX('ELI Data File'!H:H, MATCH(A30, 'ELI Data File'!A:A, 0))</f>
        <v>Finance / Compliance / Admin</v>
      </c>
      <c r="F30" s="28" t="str">
        <f>IFERROR(__xludf.DUMMYFUNCTION("AI(""Extract the Goal from the description""&amp;D30)"),"approve or reject exceptions")</f>
        <v>approve or reject exceptions</v>
      </c>
      <c r="G30" s="28" t="str">
        <f>IFERROR(__xludf.DUMMYFUNCTION("AI(""Extract the Value from the description""&amp;D30)"),"decisions are explicit and traceable.")</f>
        <v>decisions are explicit and traceable.</v>
      </c>
      <c r="H30" s="31" t="str">
        <f t="array" ref="H30">INDEX('ELI Data File'!D:D, MATCH(A30, 'ELI Data File'!A:A, 0))</f>
        <v>PH-01</v>
      </c>
      <c r="I30" s="29"/>
      <c r="J30" s="32" t="str">
        <f t="array" ref="J30">INDEX('ELI Data File'!O:O, MATCH(A30, 'ELI Data File'!A:A, 0))</f>
        <v>Medium</v>
      </c>
      <c r="K30" s="33">
        <f t="array" ref="K30">INDEX('ELI Data File'!P:P, MATCH(A30, 'ELI Data File'!A:A, 0))*4</f>
        <v>12</v>
      </c>
      <c r="L30" s="33">
        <f t="shared" si="1"/>
        <v>3</v>
      </c>
      <c r="M30" s="33">
        <f t="shared" si="3"/>
        <v>5</v>
      </c>
      <c r="N30" s="33">
        <f t="shared" si="2"/>
        <v>20</v>
      </c>
      <c r="O30" s="25"/>
      <c r="P30" s="26"/>
      <c r="Q30" s="26"/>
      <c r="R30" s="26"/>
      <c r="S30" s="26"/>
      <c r="T30" s="26"/>
    </row>
    <row r="31">
      <c r="A31" s="34" t="s">
        <v>270</v>
      </c>
      <c r="B31" s="35" t="str">
        <f t="array" ref="B31">INDEX('ELI Data File'!I:I, MATCH(A31, 'ELI Data File'!A:A, 0))</f>
        <v>Order Management</v>
      </c>
      <c r="C31" s="35" t="str">
        <f t="array" ref="C31">INDEX('ELI Data File'!J:J, MATCH(A31, 'ELI Data File'!A:A, 0))</f>
        <v>Approve Order Exceptions &amp; Overrides</v>
      </c>
      <c r="D31" s="36" t="str">
        <f t="array" ref="D31">INDEX('ELI Data File'!M:M, MATCH(A31, 'ELI Data File'!A:A, 0))</f>
        <v>As Finance, I want an audit trail of approvals so reviews do not rely on email chains.</v>
      </c>
      <c r="E31" s="37" t="str">
        <f t="array" ref="E31">INDEX('ELI Data File'!H:H, MATCH(A31, 'ELI Data File'!A:A, 0))</f>
        <v>Finance / Compliance / Admin</v>
      </c>
      <c r="F31" s="35" t="str">
        <f>IFERROR(__xludf.DUMMYFUNCTION("AI(""Extract the Goal from the description""&amp;D31)"),"view an audit trail of approvals")</f>
        <v>view an audit trail of approvals</v>
      </c>
      <c r="G31" s="35" t="str">
        <f>IFERROR(__xludf.DUMMYFUNCTION("AI(""Extract the Value from the description""&amp;D31)"),"reviews do not rely on email chains.")</f>
        <v>reviews do not rely on email chains.</v>
      </c>
      <c r="H31" s="38" t="str">
        <f t="array" ref="H31">INDEX('ELI Data File'!D:D, MATCH(A31, 'ELI Data File'!A:A, 0))</f>
        <v>PH-01</v>
      </c>
      <c r="I31" s="36"/>
      <c r="J31" s="39" t="str">
        <f t="array" ref="J31">INDEX('ELI Data File'!O:O, MATCH(A31, 'ELI Data File'!A:A, 0))</f>
        <v>Medium</v>
      </c>
      <c r="K31" s="40">
        <f t="array" ref="K31">INDEX('ELI Data File'!P:P, MATCH(A31, 'ELI Data File'!A:A, 0))*4</f>
        <v>12</v>
      </c>
      <c r="L31" s="40">
        <f t="shared" si="1"/>
        <v>3</v>
      </c>
      <c r="M31" s="40">
        <f t="shared" si="3"/>
        <v>5</v>
      </c>
      <c r="N31" s="40">
        <f t="shared" si="2"/>
        <v>20</v>
      </c>
      <c r="O31" s="25"/>
      <c r="P31" s="26"/>
      <c r="Q31" s="26"/>
      <c r="R31" s="26"/>
      <c r="S31" s="26"/>
      <c r="T31" s="26"/>
    </row>
    <row r="32">
      <c r="A32" s="27" t="s">
        <v>271</v>
      </c>
      <c r="B32" s="28" t="str">
        <f t="array" ref="B32">INDEX('ELI Data File'!I:I, MATCH(A32, 'ELI Data File'!A:A, 0))</f>
        <v>Fulfillment Orchestration</v>
      </c>
      <c r="C32" s="28" t="str">
        <f t="array" ref="C32">INDEX('ELI Data File'!J:J, MATCH(A32, 'ELI Data File'!A:A, 0))</f>
        <v>Execute Fulfillment</v>
      </c>
      <c r="D32" s="29" t="str">
        <f t="array" ref="D32">INDEX('ELI Data File'!M:M, MATCH(A32, 'ELI Data File'!A:A, 0))</f>
        <v>As Ops, I want orders assigned to the appropriate fulfillment resource so execution begins without manual routing.</v>
      </c>
      <c r="E32" s="30" t="str">
        <f t="array" ref="E32">INDEX('ELI Data File'!H:H, MATCH(A32, 'ELI Data File'!A:A, 0))</f>
        <v>Operations / Order Management</v>
      </c>
      <c r="F32" s="28" t="str">
        <f>IFERROR(__xludf.DUMMYFUNCTION("AI(""Extract the Goal from the description""&amp;D32)"),"orders assigned to the appropriate fulfillment resource")</f>
        <v>orders assigned to the appropriate fulfillment resource</v>
      </c>
      <c r="G32" s="28" t="str">
        <f>IFERROR(__xludf.DUMMYFUNCTION("AI(""Extract the Value from the description""&amp;D32)"),"execution begins without manual routing.")</f>
        <v>execution begins without manual routing.</v>
      </c>
      <c r="H32" s="31" t="str">
        <f t="array" ref="H32">INDEX('ELI Data File'!D:D, MATCH(A32, 'ELI Data File'!A:A, 0))</f>
        <v>PH-01</v>
      </c>
      <c r="I32" s="29"/>
      <c r="J32" s="32" t="str">
        <f t="array" ref="J32">INDEX('ELI Data File'!O:O, MATCH(A32, 'ELI Data File'!A:A, 0))</f>
        <v>Medium</v>
      </c>
      <c r="K32" s="33">
        <f t="array" ref="K32">INDEX('ELI Data File'!P:P, MATCH(A32, 'ELI Data File'!A:A, 0))*4</f>
        <v>12</v>
      </c>
      <c r="L32" s="33">
        <f t="shared" si="1"/>
        <v>3</v>
      </c>
      <c r="M32" s="33">
        <f t="shared" si="3"/>
        <v>5</v>
      </c>
      <c r="N32" s="33">
        <f t="shared" si="2"/>
        <v>20</v>
      </c>
      <c r="O32" s="25"/>
      <c r="P32" s="26"/>
      <c r="Q32" s="26"/>
      <c r="R32" s="26"/>
      <c r="S32" s="26"/>
      <c r="T32" s="26"/>
    </row>
    <row r="33">
      <c r="A33" s="34" t="s">
        <v>272</v>
      </c>
      <c r="B33" s="35" t="str">
        <f t="array" ref="B33">INDEX('ELI Data File'!I:I, MATCH(A33, 'ELI Data File'!A:A, 0))</f>
        <v>Fulfillment Orchestration</v>
      </c>
      <c r="C33" s="35" t="str">
        <f t="array" ref="C33">INDEX('ELI Data File'!J:J, MATCH(A33, 'ELI Data File'!A:A, 0))</f>
        <v>Execute Fulfillment</v>
      </c>
      <c r="D33" s="36" t="str">
        <f t="array" ref="D33">INDEX('ELI Data File'!M:M, MATCH(A33, 'ELI Data File'!A:A, 0))</f>
        <v>As a Warehouse user, I want system-generated pick instructions so I can fulfill orders accurately.</v>
      </c>
      <c r="E33" s="37" t="str">
        <f t="array" ref="E33">INDEX('ELI Data File'!H:H, MATCH(A33, 'ELI Data File'!A:A, 0))</f>
        <v>Warehouse &amp; Fulfillment</v>
      </c>
      <c r="F33" s="35" t="str">
        <f>IFERROR(__xludf.DUMMYFUNCTION("AI(""Extract the Goal from the description""&amp;D33)"),"system-generated pick instructions")</f>
        <v>system-generated pick instructions</v>
      </c>
      <c r="G33" s="35" t="str">
        <f>IFERROR(__xludf.DUMMYFUNCTION("AI(""Extract the Value from the description""&amp;D33)"),"fulfill orders accurately.")</f>
        <v>fulfill orders accurately.</v>
      </c>
      <c r="H33" s="38" t="str">
        <f t="array" ref="H33">INDEX('ELI Data File'!D:D, MATCH(A33, 'ELI Data File'!A:A, 0))</f>
        <v>PH-01</v>
      </c>
      <c r="I33" s="36"/>
      <c r="J33" s="39" t="str">
        <f t="array" ref="J33">INDEX('ELI Data File'!O:O, MATCH(A33, 'ELI Data File'!A:A, 0))</f>
        <v>Medium</v>
      </c>
      <c r="K33" s="40">
        <f t="array" ref="K33">INDEX('ELI Data File'!P:P, MATCH(A33, 'ELI Data File'!A:A, 0))*4</f>
        <v>12</v>
      </c>
      <c r="L33" s="40">
        <f t="shared" si="1"/>
        <v>3</v>
      </c>
      <c r="M33" s="40">
        <f t="shared" si="3"/>
        <v>5</v>
      </c>
      <c r="N33" s="40">
        <f t="shared" si="2"/>
        <v>20</v>
      </c>
      <c r="O33" s="25"/>
      <c r="P33" s="26"/>
      <c r="Q33" s="26"/>
      <c r="R33" s="26"/>
      <c r="S33" s="26"/>
      <c r="T33" s="26"/>
    </row>
    <row r="34">
      <c r="A34" s="27" t="s">
        <v>273</v>
      </c>
      <c r="B34" s="28" t="str">
        <f t="array" ref="B34">INDEX('ELI Data File'!I:I, MATCH(A34, 'ELI Data File'!A:A, 0))</f>
        <v>Fulfillment Orchestration</v>
      </c>
      <c r="C34" s="28" t="str">
        <f t="array" ref="C34">INDEX('ELI Data File'!J:J, MATCH(A34, 'ELI Data File'!A:A, 0))</f>
        <v>Execute Fulfillment</v>
      </c>
      <c r="D34" s="29" t="str">
        <f t="array" ref="D34">INDEX('ELI Data File'!M:M, MATCH(A34, 'ELI Data File'!A:A, 0))</f>
        <v>As a Warehouse user, I want to pack and ship orders so delivery proceeds according to service levels.</v>
      </c>
      <c r="E34" s="30" t="str">
        <f t="array" ref="E34">INDEX('ELI Data File'!H:H, MATCH(A34, 'ELI Data File'!A:A, 0))</f>
        <v>Warehouse &amp; Fulfillment</v>
      </c>
      <c r="F34" s="28" t="str">
        <f>IFERROR(__xludf.DUMMYFUNCTION("AI(""Extract the Goal from the description""&amp;D34)"),"pack and ship orders")</f>
        <v>pack and ship orders</v>
      </c>
      <c r="G34" s="28" t="str">
        <f>IFERROR(__xludf.DUMMYFUNCTION("AI(""Extract the Value from the description""&amp;D34)"),"delivery proceeds according to service levels.")</f>
        <v>delivery proceeds according to service levels.</v>
      </c>
      <c r="H34" s="31" t="str">
        <f t="array" ref="H34">INDEX('ELI Data File'!D:D, MATCH(A34, 'ELI Data File'!A:A, 0))</f>
        <v>PH-01</v>
      </c>
      <c r="I34" s="29"/>
      <c r="J34" s="32" t="str">
        <f t="array" ref="J34">INDEX('ELI Data File'!O:O, MATCH(A34, 'ELI Data File'!A:A, 0))</f>
        <v>Medium</v>
      </c>
      <c r="K34" s="33">
        <f t="array" ref="K34">INDEX('ELI Data File'!P:P, MATCH(A34, 'ELI Data File'!A:A, 0))*4</f>
        <v>12</v>
      </c>
      <c r="L34" s="33">
        <f t="shared" si="1"/>
        <v>3</v>
      </c>
      <c r="M34" s="33">
        <f t="shared" si="3"/>
        <v>5</v>
      </c>
      <c r="N34" s="33">
        <f t="shared" si="2"/>
        <v>20</v>
      </c>
      <c r="O34" s="25"/>
      <c r="P34" s="26"/>
      <c r="Q34" s="26"/>
      <c r="R34" s="26"/>
      <c r="S34" s="26"/>
      <c r="T34" s="26"/>
    </row>
    <row r="35">
      <c r="A35" s="34" t="s">
        <v>274</v>
      </c>
      <c r="B35" s="35" t="str">
        <f t="array" ref="B35">INDEX('ELI Data File'!I:I, MATCH(A35, 'ELI Data File'!A:A, 0))</f>
        <v>Fulfillment Orchestration</v>
      </c>
      <c r="C35" s="35" t="str">
        <f t="array" ref="C35">INDEX('ELI Data File'!J:J, MATCH(A35, 'ELI Data File'!A:A, 0))</f>
        <v>Determine Fulfillment Routing</v>
      </c>
      <c r="D35" s="36" t="str">
        <f t="array" ref="D35">INDEX('ELI Data File'!M:M, MATCH(A35, 'ELI Data File'!A:A, 0))</f>
        <v>As Ops, I want the system to select the optimal fulfillment path so cost and SLA requirements are met.</v>
      </c>
      <c r="E35" s="37" t="str">
        <f t="array" ref="E35">INDEX('ELI Data File'!H:H, MATCH(A35, 'ELI Data File'!A:A, 0))</f>
        <v>Operations / Order Management</v>
      </c>
      <c r="F35" s="35" t="str">
        <f>IFERROR(__xludf.DUMMYFUNCTION("AI(""Extract the Goal from the description""&amp;D35)"),"select the optimal fulfillment path")</f>
        <v>select the optimal fulfillment path</v>
      </c>
      <c r="G35" s="35" t="str">
        <f>IFERROR(__xludf.DUMMYFUNCTION("AI(""Extract the Value from the description""&amp;D35)"),"cost and SLA requirements are met.")</f>
        <v>cost and SLA requirements are met.</v>
      </c>
      <c r="H35" s="38" t="str">
        <f t="array" ref="H35">INDEX('ELI Data File'!D:D, MATCH(A35, 'ELI Data File'!A:A, 0))</f>
        <v>PH-01</v>
      </c>
      <c r="I35" s="36"/>
      <c r="J35" s="39" t="str">
        <f t="array" ref="J35">INDEX('ELI Data File'!O:O, MATCH(A35, 'ELI Data File'!A:A, 0))</f>
        <v>Medium</v>
      </c>
      <c r="K35" s="40">
        <f t="array" ref="K35">INDEX('ELI Data File'!P:P, MATCH(A35, 'ELI Data File'!A:A, 0))*4</f>
        <v>12</v>
      </c>
      <c r="L35" s="40">
        <f t="shared" si="1"/>
        <v>3</v>
      </c>
      <c r="M35" s="40">
        <f t="shared" si="3"/>
        <v>5</v>
      </c>
      <c r="N35" s="40">
        <f t="shared" si="2"/>
        <v>20</v>
      </c>
      <c r="O35" s="25"/>
      <c r="P35" s="26"/>
      <c r="Q35" s="26"/>
      <c r="R35" s="26"/>
      <c r="S35" s="26"/>
      <c r="T35" s="26"/>
    </row>
    <row r="36">
      <c r="A36" s="27" t="s">
        <v>275</v>
      </c>
      <c r="B36" s="28" t="str">
        <f t="array" ref="B36">INDEX('ELI Data File'!I:I, MATCH(A36, 'ELI Data File'!A:A, 0))</f>
        <v>Fulfillment Orchestration</v>
      </c>
      <c r="C36" s="28" t="str">
        <f t="array" ref="C36">INDEX('ELI Data File'!J:J, MATCH(A36, 'ELI Data File'!A:A, 0))</f>
        <v>Determine Fulfillment Routing</v>
      </c>
      <c r="D36" s="29" t="str">
        <f t="array" ref="D36">INDEX('ELI Data File'!M:M, MATCH(A36, 'ELI Data File'!A:A, 0))</f>
        <v>As Ops, I want orders split across sources when necessary so commitments are met.</v>
      </c>
      <c r="E36" s="30" t="str">
        <f t="array" ref="E36">INDEX('ELI Data File'!H:H, MATCH(A36, 'ELI Data File'!A:A, 0))</f>
        <v>Operations / Order Management</v>
      </c>
      <c r="F36" s="28" t="str">
        <f>IFERROR(__xludf.DUMMYFUNCTION("AI(""Extract the Goal from the description""&amp;D36)"),"split orders across sources when necessary")</f>
        <v>split orders across sources when necessary</v>
      </c>
      <c r="G36" s="28" t="str">
        <f>IFERROR(__xludf.DUMMYFUNCTION("AI(""Extract the Value from the description""&amp;D36)"),"commitments are met")</f>
        <v>commitments are met</v>
      </c>
      <c r="H36" s="31" t="str">
        <f t="array" ref="H36">INDEX('ELI Data File'!D:D, MATCH(A36, 'ELI Data File'!A:A, 0))</f>
        <v>PH-01</v>
      </c>
      <c r="I36" s="29"/>
      <c r="J36" s="32" t="str">
        <f t="array" ref="J36">INDEX('ELI Data File'!O:O, MATCH(A36, 'ELI Data File'!A:A, 0))</f>
        <v>Medium</v>
      </c>
      <c r="K36" s="33">
        <f t="array" ref="K36">INDEX('ELI Data File'!P:P, MATCH(A36, 'ELI Data File'!A:A, 0))*4</f>
        <v>12</v>
      </c>
      <c r="L36" s="33">
        <f t="shared" si="1"/>
        <v>3</v>
      </c>
      <c r="M36" s="33">
        <f t="shared" si="3"/>
        <v>5</v>
      </c>
      <c r="N36" s="33">
        <f t="shared" si="2"/>
        <v>20</v>
      </c>
      <c r="O36" s="25"/>
      <c r="P36" s="26"/>
      <c r="Q36" s="26"/>
      <c r="R36" s="26"/>
      <c r="S36" s="26"/>
      <c r="T36" s="26"/>
    </row>
    <row r="37">
      <c r="A37" s="34" t="s">
        <v>276</v>
      </c>
      <c r="B37" s="35" t="str">
        <f t="array" ref="B37">INDEX('ELI Data File'!I:I, MATCH(A37, 'ELI Data File'!A:A, 0))</f>
        <v>Fulfillment Orchestration</v>
      </c>
      <c r="C37" s="35" t="str">
        <f t="array" ref="C37">INDEX('ELI Data File'!J:J, MATCH(A37, 'ELI Data File'!A:A, 0))</f>
        <v>Determine Fulfillment Routing</v>
      </c>
      <c r="D37" s="36" t="str">
        <f t="array" ref="D37">INDEX('ELI Data File'!M:M, MATCH(A37, 'ELI Data File'!A:A, 0))</f>
        <v>As Finance, I want service-level constraints enforced so contractual obligations are met.</v>
      </c>
      <c r="E37" s="37" t="str">
        <f t="array" ref="E37">INDEX('ELI Data File'!H:H, MATCH(A37, 'ELI Data File'!A:A, 0))</f>
        <v>Finance / Compliance / Admin</v>
      </c>
      <c r="F37" s="35" t="str">
        <f>IFERROR(__xludf.DUMMYFUNCTION("AI(""Extract the Goal from the description""&amp;D37)"),"service-level constraints enforced")</f>
        <v>service-level constraints enforced</v>
      </c>
      <c r="G37" s="35" t="str">
        <f>IFERROR(__xludf.DUMMYFUNCTION("AI(""Extract the Value from the description""&amp;D37)"),"contractual obligations are met.")</f>
        <v>contractual obligations are met.</v>
      </c>
      <c r="H37" s="38" t="str">
        <f t="array" ref="H37">INDEX('ELI Data File'!D:D, MATCH(A37, 'ELI Data File'!A:A, 0))</f>
        <v>PH-01</v>
      </c>
      <c r="I37" s="36"/>
      <c r="J37" s="39" t="str">
        <f t="array" ref="J37">INDEX('ELI Data File'!O:O, MATCH(A37, 'ELI Data File'!A:A, 0))</f>
        <v>Medium</v>
      </c>
      <c r="K37" s="40">
        <f t="array" ref="K37">INDEX('ELI Data File'!P:P, MATCH(A37, 'ELI Data File'!A:A, 0))*4</f>
        <v>12</v>
      </c>
      <c r="L37" s="40">
        <f t="shared" si="1"/>
        <v>3</v>
      </c>
      <c r="M37" s="40">
        <f t="shared" si="3"/>
        <v>5</v>
      </c>
      <c r="N37" s="40">
        <f t="shared" si="2"/>
        <v>20</v>
      </c>
      <c r="O37" s="25"/>
      <c r="P37" s="26"/>
      <c r="Q37" s="26"/>
      <c r="R37" s="26"/>
      <c r="S37" s="26"/>
      <c r="T37" s="26"/>
    </row>
    <row r="38">
      <c r="A38" s="27" t="s">
        <v>277</v>
      </c>
      <c r="B38" s="28" t="str">
        <f t="array" ref="B38">INDEX('ELI Data File'!I:I, MATCH(A38, 'ELI Data File'!A:A, 0))</f>
        <v>Fulfillment Orchestration</v>
      </c>
      <c r="C38" s="28" t="str">
        <f t="array" ref="C38">INDEX('ELI Data File'!J:J, MATCH(A38, 'ELI Data File'!A:A, 0))</f>
        <v>Validate Regulated Substitutions</v>
      </c>
      <c r="D38" s="29" t="str">
        <f t="array" ref="D38">INDEX('ELI Data File'!M:M, MATCH(A38, 'ELI Data File'!A:A, 0))</f>
        <v>As Ops, I want the system to propose allowed substitutions so I don’t manually assess eligibility.</v>
      </c>
      <c r="E38" s="30" t="str">
        <f t="array" ref="E38">INDEX('ELI Data File'!H:H, MATCH(A38, 'ELI Data File'!A:A, 0))</f>
        <v>Operations / Order Management</v>
      </c>
      <c r="F38" s="28" t="str">
        <f>IFERROR(__xludf.DUMMYFUNCTION("AI(""Extract the Goal from the description""&amp;D38)"),"the system to propose allowed substitutions")</f>
        <v>the system to propose allowed substitutions</v>
      </c>
      <c r="G38" s="28" t="str">
        <f>IFERROR(__xludf.DUMMYFUNCTION("AI(""Extract the Value from the description""&amp;D38)"),"I don't manually assess eligibility.")</f>
        <v>I don't manually assess eligibility.</v>
      </c>
      <c r="H38" s="31" t="str">
        <f t="array" ref="H38">INDEX('ELI Data File'!D:D, MATCH(A38, 'ELI Data File'!A:A, 0))</f>
        <v>PH-01</v>
      </c>
      <c r="I38" s="29"/>
      <c r="J38" s="32" t="str">
        <f t="array" ref="J38">INDEX('ELI Data File'!O:O, MATCH(A38, 'ELI Data File'!A:A, 0))</f>
        <v>Medium</v>
      </c>
      <c r="K38" s="33">
        <f t="array" ref="K38">INDEX('ELI Data File'!P:P, MATCH(A38, 'ELI Data File'!A:A, 0))*4</f>
        <v>12</v>
      </c>
      <c r="L38" s="33">
        <f t="shared" si="1"/>
        <v>3</v>
      </c>
      <c r="M38" s="33">
        <f t="shared" si="3"/>
        <v>5</v>
      </c>
      <c r="N38" s="33">
        <f t="shared" si="2"/>
        <v>20</v>
      </c>
      <c r="O38" s="25"/>
      <c r="P38" s="26"/>
      <c r="Q38" s="26"/>
      <c r="R38" s="26"/>
      <c r="S38" s="26"/>
      <c r="T38" s="26"/>
    </row>
    <row r="39">
      <c r="A39" s="34" t="s">
        <v>278</v>
      </c>
      <c r="B39" s="35" t="str">
        <f t="array" ref="B39">INDEX('ELI Data File'!I:I, MATCH(A39, 'ELI Data File'!A:A, 0))</f>
        <v>Fulfillment Orchestration</v>
      </c>
      <c r="C39" s="35" t="str">
        <f t="array" ref="C39">INDEX('ELI Data File'!J:J, MATCH(A39, 'ELI Data File'!A:A, 0))</f>
        <v>Validate Regulated Substitutions</v>
      </c>
      <c r="D39" s="36" t="str">
        <f t="array" ref="D39">INDEX('ELI Data File'!M:M, MATCH(A39, 'ELI Data File'!A:A, 0))</f>
        <v>As Compliance, I want vendor certifications validated so non-compliant substitutions are blocked.</v>
      </c>
      <c r="E39" s="37" t="str">
        <f t="array" ref="E39">INDEX('ELI Data File'!H:H, MATCH(A39, 'ELI Data File'!A:A, 0))</f>
        <v>Finance / Compliance / Admin</v>
      </c>
      <c r="F39" s="35" t="str">
        <f>IFERROR(__xludf.DUMMYFUNCTION("AI(""Extract the Goal from the description""&amp;D39)"),"vendor certifications validated")</f>
        <v>vendor certifications validated</v>
      </c>
      <c r="G39" s="35" t="str">
        <f>IFERROR(__xludf.DUMMYFUNCTION("AI(""Extract the Value from the description""&amp;D39)"),"non-compliant substitutions are blocked.")</f>
        <v>non-compliant substitutions are blocked.</v>
      </c>
      <c r="H39" s="38" t="str">
        <f t="array" ref="H39">INDEX('ELI Data File'!D:D, MATCH(A39, 'ELI Data File'!A:A, 0))</f>
        <v>PH-01</v>
      </c>
      <c r="I39" s="36"/>
      <c r="J39" s="39" t="str">
        <f t="array" ref="J39">INDEX('ELI Data File'!O:O, MATCH(A39, 'ELI Data File'!A:A, 0))</f>
        <v>Medium</v>
      </c>
      <c r="K39" s="40">
        <f t="array" ref="K39">INDEX('ELI Data File'!P:P, MATCH(A39, 'ELI Data File'!A:A, 0))*4</f>
        <v>12</v>
      </c>
      <c r="L39" s="40">
        <f t="shared" si="1"/>
        <v>3</v>
      </c>
      <c r="M39" s="40">
        <f t="shared" si="3"/>
        <v>5</v>
      </c>
      <c r="N39" s="40">
        <f t="shared" si="2"/>
        <v>20</v>
      </c>
      <c r="O39" s="25"/>
      <c r="P39" s="26"/>
      <c r="Q39" s="26"/>
      <c r="R39" s="26"/>
      <c r="S39" s="26"/>
      <c r="T39" s="26"/>
    </row>
    <row r="40">
      <c r="A40" s="27" t="s">
        <v>279</v>
      </c>
      <c r="B40" s="28" t="str">
        <f t="array" ref="B40">INDEX('ELI Data File'!I:I, MATCH(A40, 'ELI Data File'!A:A, 0))</f>
        <v>Fulfillment Orchestration</v>
      </c>
      <c r="C40" s="28" t="str">
        <f t="array" ref="C40">INDEX('ELI Data File'!J:J, MATCH(A40, 'ELI Data File'!A:A, 0))</f>
        <v>Validate Regulated Substitutions</v>
      </c>
      <c r="D40" s="29" t="str">
        <f t="array" ref="D40">INDEX('ELI Data File'!M:M, MATCH(A40, 'ELI Data File'!A:A, 0))</f>
        <v>As Compliance, I want geographic and regulatory rules enforced so orders comply with applicable laws.</v>
      </c>
      <c r="E40" s="30" t="str">
        <f t="array" ref="E40">INDEX('ELI Data File'!H:H, MATCH(A40, 'ELI Data File'!A:A, 0))</f>
        <v>Finance / Compliance / Admin</v>
      </c>
      <c r="F40" s="28" t="str">
        <f>IFERROR(__xludf.DUMMYFUNCTION("AI(""Extract the Goal from the description""&amp;D40)"),"geographic and regulatory rules enforced")</f>
        <v>geographic and regulatory rules enforced</v>
      </c>
      <c r="G40" s="28" t="str">
        <f>IFERROR(__xludf.DUMMYFUNCTION("AI(""Extract the Value from the description""&amp;D40)"),"orders comply with applicable laws.")</f>
        <v>orders comply with applicable laws.</v>
      </c>
      <c r="H40" s="31" t="str">
        <f t="array" ref="H40">INDEX('ELI Data File'!D:D, MATCH(A40, 'ELI Data File'!A:A, 0))</f>
        <v>PH-01</v>
      </c>
      <c r="I40" s="29"/>
      <c r="J40" s="32" t="str">
        <f t="array" ref="J40">INDEX('ELI Data File'!O:O, MATCH(A40, 'ELI Data File'!A:A, 0))</f>
        <v>Medium</v>
      </c>
      <c r="K40" s="33">
        <f t="array" ref="K40">INDEX('ELI Data File'!P:P, MATCH(A40, 'ELI Data File'!A:A, 0))*4</f>
        <v>12</v>
      </c>
      <c r="L40" s="33">
        <f t="shared" si="1"/>
        <v>3</v>
      </c>
      <c r="M40" s="33">
        <f t="shared" si="3"/>
        <v>5</v>
      </c>
      <c r="N40" s="33">
        <f t="shared" si="2"/>
        <v>20</v>
      </c>
      <c r="O40" s="25"/>
      <c r="P40" s="26"/>
      <c r="Q40" s="26"/>
      <c r="R40" s="26"/>
      <c r="S40" s="26"/>
      <c r="T40" s="26"/>
    </row>
    <row r="41">
      <c r="A41" s="34" t="s">
        <v>280</v>
      </c>
      <c r="B41" s="35" t="str">
        <f t="array" ref="B41">INDEX('ELI Data File'!I:I, MATCH(A41, 'ELI Data File'!A:A, 0))</f>
        <v>Purchase Management</v>
      </c>
      <c r="C41" s="35" t="str">
        <f t="array" ref="C41">INDEX('ELI Data File'!J:J, MATCH(A41, 'ELI Data File'!A:A, 0))</f>
        <v>Create Purchase Order</v>
      </c>
      <c r="D41" s="36" t="str">
        <f t="array" ref="D41">INDEX('ELI Data File'!M:M, MATCH(A41, 'ELI Data File'!A:A, 0))</f>
        <v>As Ops, I want to generate a purchase order from unmet demand so supply gaps are addressed quickly.</v>
      </c>
      <c r="E41" s="37" t="str">
        <f t="array" ref="E41">INDEX('ELI Data File'!H:H, MATCH(A41, 'ELI Data File'!A:A, 0))</f>
        <v>Operations / Order Management</v>
      </c>
      <c r="F41" s="35" t="str">
        <f>IFERROR(__xludf.DUMMYFUNCTION("AI(""Extract the Goal from the description""&amp;D41)"),"generate a purchase order from unmet demand")</f>
        <v>generate a purchase order from unmet demand</v>
      </c>
      <c r="G41" s="35" t="str">
        <f>IFERROR(__xludf.DUMMYFUNCTION("AI(""Extract the Value from the description""&amp;D41)"),"supply gaps are addressed quickly.")</f>
        <v>supply gaps are addressed quickly.</v>
      </c>
      <c r="H41" s="38" t="str">
        <f t="array" ref="H41">INDEX('ELI Data File'!D:D, MATCH(A41, 'ELI Data File'!A:A, 0))</f>
        <v>PH-01</v>
      </c>
      <c r="I41" s="36"/>
      <c r="J41" s="39" t="str">
        <f t="array" ref="J41">INDEX('ELI Data File'!O:O, MATCH(A41, 'ELI Data File'!A:A, 0))</f>
        <v>Medium</v>
      </c>
      <c r="K41" s="40">
        <f t="array" ref="K41">INDEX('ELI Data File'!P:P, MATCH(A41, 'ELI Data File'!A:A, 0))*4</f>
        <v>12</v>
      </c>
      <c r="L41" s="40">
        <f t="shared" si="1"/>
        <v>3</v>
      </c>
      <c r="M41" s="40">
        <f t="shared" si="3"/>
        <v>5</v>
      </c>
      <c r="N41" s="40">
        <f t="shared" si="2"/>
        <v>20</v>
      </c>
      <c r="O41" s="25"/>
      <c r="P41" s="26"/>
      <c r="Q41" s="26"/>
      <c r="R41" s="26"/>
      <c r="S41" s="26"/>
      <c r="T41" s="26"/>
    </row>
    <row r="42">
      <c r="A42" s="27" t="s">
        <v>281</v>
      </c>
      <c r="B42" s="28" t="str">
        <f t="array" ref="B42">INDEX('ELI Data File'!I:I, MATCH(A42, 'ELI Data File'!A:A, 0))</f>
        <v>Purchase Management</v>
      </c>
      <c r="C42" s="28" t="str">
        <f t="array" ref="C42">INDEX('ELI Data File'!J:J, MATCH(A42, 'ELI Data File'!A:A, 0))</f>
        <v>Create Purchase Order</v>
      </c>
      <c r="D42" s="29" t="str">
        <f t="array" ref="D42">INDEX('ELI Data File'!M:M, MATCH(A42, 'ELI Data File'!A:A, 0))</f>
        <v>As Finance, I want only approved vendors selectable so compliance and pricing terms are enforced.</v>
      </c>
      <c r="E42" s="30" t="str">
        <f t="array" ref="E42">INDEX('ELI Data File'!H:H, MATCH(A42, 'ELI Data File'!A:A, 0))</f>
        <v>Finance / Compliance / Admin</v>
      </c>
      <c r="F42" s="28" t="str">
        <f>IFERROR(__xludf.DUMMYFUNCTION("AI(""Extract the Goal from the description""&amp;D42)"),"only approved vendors selectable")</f>
        <v>only approved vendors selectable</v>
      </c>
      <c r="G42" s="28" t="str">
        <f>IFERROR(__xludf.DUMMYFUNCTION("AI(""Extract the Value from the description""&amp;D42)"),"compliance and pricing terms are enforced.")</f>
        <v>compliance and pricing terms are enforced.</v>
      </c>
      <c r="H42" s="31" t="str">
        <f t="array" ref="H42">INDEX('ELI Data File'!D:D, MATCH(A42, 'ELI Data File'!A:A, 0))</f>
        <v>PH-01</v>
      </c>
      <c r="I42" s="29"/>
      <c r="J42" s="32" t="str">
        <f t="array" ref="J42">INDEX('ELI Data File'!O:O, MATCH(A42, 'ELI Data File'!A:A, 0))</f>
        <v>Medium</v>
      </c>
      <c r="K42" s="33">
        <f t="array" ref="K42">INDEX('ELI Data File'!P:P, MATCH(A42, 'ELI Data File'!A:A, 0))*4</f>
        <v>12</v>
      </c>
      <c r="L42" s="33">
        <f t="shared" si="1"/>
        <v>3</v>
      </c>
      <c r="M42" s="33">
        <f t="shared" si="3"/>
        <v>5</v>
      </c>
      <c r="N42" s="33">
        <f t="shared" si="2"/>
        <v>20</v>
      </c>
      <c r="O42" s="25"/>
      <c r="P42" s="26"/>
      <c r="Q42" s="26"/>
      <c r="R42" s="26"/>
      <c r="S42" s="26"/>
      <c r="T42" s="26"/>
    </row>
    <row r="43">
      <c r="A43" s="34" t="s">
        <v>282</v>
      </c>
      <c r="B43" s="35" t="str">
        <f t="array" ref="B43">INDEX('ELI Data File'!I:I, MATCH(A43, 'ELI Data File'!A:A, 0))</f>
        <v>Purchase Management</v>
      </c>
      <c r="C43" s="35" t="str">
        <f t="array" ref="C43">INDEX('ELI Data File'!J:J, MATCH(A43, 'ELI Data File'!A:A, 0))</f>
        <v>Create Purchase Order</v>
      </c>
      <c r="D43" s="36" t="str">
        <f t="array" ref="D43">INDEX('ELI Data File'!M:M, MATCH(A43, 'ELI Data File'!A:A, 0))</f>
        <v>As Finance, I want vendor contract terms applied so purchasing aligns with negotiated pricing and penalties.</v>
      </c>
      <c r="E43" s="37" t="str">
        <f t="array" ref="E43">INDEX('ELI Data File'!H:H, MATCH(A43, 'ELI Data File'!A:A, 0))</f>
        <v>Finance / Compliance / Admin</v>
      </c>
      <c r="F43" s="35" t="str">
        <f>IFERROR(__xludf.DUMMYFUNCTION("AI(""Extract the Goal from the description""&amp;D43)"),"apply vendor contract terms")</f>
        <v>apply vendor contract terms</v>
      </c>
      <c r="G43" s="35" t="str">
        <f>IFERROR(__xludf.DUMMYFUNCTION("AI(""Extract the Value from the description""&amp;D43)"),"purchasing aligns with negotiated pricing and penalties.")</f>
        <v>purchasing aligns with negotiated pricing and penalties.</v>
      </c>
      <c r="H43" s="38" t="str">
        <f t="array" ref="H43">INDEX('ELI Data File'!D:D, MATCH(A43, 'ELI Data File'!A:A, 0))</f>
        <v>PH-01</v>
      </c>
      <c r="I43" s="36"/>
      <c r="J43" s="39" t="str">
        <f t="array" ref="J43">INDEX('ELI Data File'!O:O, MATCH(A43, 'ELI Data File'!A:A, 0))</f>
        <v>Medium</v>
      </c>
      <c r="K43" s="40">
        <f t="array" ref="K43">INDEX('ELI Data File'!P:P, MATCH(A43, 'ELI Data File'!A:A, 0))*4</f>
        <v>12</v>
      </c>
      <c r="L43" s="40">
        <f t="shared" si="1"/>
        <v>3</v>
      </c>
      <c r="M43" s="40">
        <f t="shared" si="3"/>
        <v>5</v>
      </c>
      <c r="N43" s="40">
        <f t="shared" si="2"/>
        <v>20</v>
      </c>
      <c r="O43" s="25"/>
      <c r="P43" s="26"/>
      <c r="Q43" s="26"/>
      <c r="R43" s="26"/>
      <c r="S43" s="26"/>
      <c r="T43" s="26"/>
    </row>
    <row r="44">
      <c r="A44" s="27" t="s">
        <v>283</v>
      </c>
      <c r="B44" s="28" t="str">
        <f t="array" ref="B44">INDEX('ELI Data File'!I:I, MATCH(A44, 'ELI Data File'!A:A, 0))</f>
        <v>Purchase Management</v>
      </c>
      <c r="C44" s="28" t="str">
        <f t="array" ref="C44">INDEX('ELI Data File'!J:J, MATCH(A44, 'ELI Data File'!A:A, 0))</f>
        <v>Receive Purchase Order</v>
      </c>
      <c r="D44" s="29" t="str">
        <f t="array" ref="D44">INDEX('ELI Data File'!M:M, MATCH(A44, 'ELI Data File'!A:A, 0))</f>
        <v>As a Warehouse user, I want to receive goods against a PO so inventory updates accurately.</v>
      </c>
      <c r="E44" s="30" t="str">
        <f t="array" ref="E44">INDEX('ELI Data File'!H:H, MATCH(A44, 'ELI Data File'!A:A, 0))</f>
        <v>Warehouse &amp; Fulfillment</v>
      </c>
      <c r="F44" s="28" t="str">
        <f>IFERROR(__xludf.DUMMYFUNCTION("AI(""Extract the Goal from the description""&amp;D44)"),"receive goods against a PO")</f>
        <v>receive goods against a PO</v>
      </c>
      <c r="G44" s="28" t="str">
        <f>IFERROR(__xludf.DUMMYFUNCTION("AI(""Extract the Value from the description""&amp;D44)"),"inventory updates accurately")</f>
        <v>inventory updates accurately</v>
      </c>
      <c r="H44" s="31" t="str">
        <f t="array" ref="H44">INDEX('ELI Data File'!D:D, MATCH(A44, 'ELI Data File'!A:A, 0))</f>
        <v>PH-01</v>
      </c>
      <c r="I44" s="29"/>
      <c r="J44" s="32" t="str">
        <f t="array" ref="J44">INDEX('ELI Data File'!O:O, MATCH(A44, 'ELI Data File'!A:A, 0))</f>
        <v>Medium</v>
      </c>
      <c r="K44" s="33">
        <f t="array" ref="K44">INDEX('ELI Data File'!P:P, MATCH(A44, 'ELI Data File'!A:A, 0))*4</f>
        <v>12</v>
      </c>
      <c r="L44" s="33">
        <f t="shared" si="1"/>
        <v>3</v>
      </c>
      <c r="M44" s="33">
        <f t="shared" si="3"/>
        <v>5</v>
      </c>
      <c r="N44" s="33">
        <f t="shared" si="2"/>
        <v>20</v>
      </c>
      <c r="O44" s="25"/>
      <c r="P44" s="26"/>
      <c r="Q44" s="26"/>
      <c r="R44" s="26"/>
      <c r="S44" s="26"/>
      <c r="T44" s="26"/>
    </row>
    <row r="45">
      <c r="A45" s="34" t="s">
        <v>284</v>
      </c>
      <c r="B45" s="35" t="str">
        <f t="array" ref="B45">INDEX('ELI Data File'!I:I, MATCH(A45, 'ELI Data File'!A:A, 0))</f>
        <v>Purchase Management</v>
      </c>
      <c r="C45" s="35" t="str">
        <f t="array" ref="C45">INDEX('ELI Data File'!J:J, MATCH(A45, 'ELI Data File'!A:A, 0))</f>
        <v>Receive Purchase Order</v>
      </c>
      <c r="D45" s="36" t="str">
        <f t="array" ref="D45">INDEX('ELI Data File'!M:M, MATCH(A45, 'ELI Data File'!A:A, 0))</f>
        <v>As a Warehouse user, I want to record partial or over-receipt so discrepancies are tracked.</v>
      </c>
      <c r="E45" s="37" t="str">
        <f t="array" ref="E45">INDEX('ELI Data File'!H:H, MATCH(A45, 'ELI Data File'!A:A, 0))</f>
        <v>Warehouse &amp; Fulfillment</v>
      </c>
      <c r="F45" s="35" t="str">
        <f>IFERROR(__xludf.DUMMYFUNCTION("AI(""Extract the Goal from the description""&amp;D45)"),"record partial or over-receipt")</f>
        <v>record partial or over-receipt</v>
      </c>
      <c r="G45" s="35" t="str">
        <f>IFERROR(__xludf.DUMMYFUNCTION("AI(""Extract the Value from the description""&amp;D45)"),"discrepancies are tracked.")</f>
        <v>discrepancies are tracked.</v>
      </c>
      <c r="H45" s="38" t="str">
        <f t="array" ref="H45">INDEX('ELI Data File'!D:D, MATCH(A45, 'ELI Data File'!A:A, 0))</f>
        <v>PH-01</v>
      </c>
      <c r="I45" s="36"/>
      <c r="J45" s="39" t="str">
        <f t="array" ref="J45">INDEX('ELI Data File'!O:O, MATCH(A45, 'ELI Data File'!A:A, 0))</f>
        <v>Medium</v>
      </c>
      <c r="K45" s="40">
        <f t="array" ref="K45">INDEX('ELI Data File'!P:P, MATCH(A45, 'ELI Data File'!A:A, 0))*4</f>
        <v>12</v>
      </c>
      <c r="L45" s="40">
        <f t="shared" si="1"/>
        <v>3</v>
      </c>
      <c r="M45" s="40">
        <f t="shared" si="3"/>
        <v>5</v>
      </c>
      <c r="N45" s="40">
        <f t="shared" si="2"/>
        <v>20</v>
      </c>
      <c r="O45" s="25"/>
      <c r="P45" s="26"/>
      <c r="Q45" s="26"/>
      <c r="R45" s="26"/>
      <c r="S45" s="26"/>
      <c r="T45" s="26"/>
    </row>
    <row r="46">
      <c r="A46" s="27" t="s">
        <v>285</v>
      </c>
      <c r="B46" s="28" t="str">
        <f t="array" ref="B46">INDEX('ELI Data File'!I:I, MATCH(A46, 'ELI Data File'!A:A, 0))</f>
        <v>Purchase Management</v>
      </c>
      <c r="C46" s="28" t="str">
        <f t="array" ref="C46">INDEX('ELI Data File'!J:J, MATCH(A46, 'ELI Data File'!A:A, 0))</f>
        <v>Receive Purchase Order</v>
      </c>
      <c r="D46" s="29" t="str">
        <f t="array" ref="D46">INDEX('ELI Data File'!M:M, MATCH(A46, 'ELI Data File'!A:A, 0))</f>
        <v>As Ops, I want POs closed after receipt so purchasing status remains accurate.</v>
      </c>
      <c r="E46" s="30" t="str">
        <f t="array" ref="E46">INDEX('ELI Data File'!H:H, MATCH(A46, 'ELI Data File'!A:A, 0))</f>
        <v>Operations / Order Management</v>
      </c>
      <c r="F46" s="28" t="str">
        <f>IFERROR(__xludf.DUMMYFUNCTION("AI(""Extract the Goal from the description""&amp;D46)"),"POs closed after receipt")</f>
        <v>POs closed after receipt</v>
      </c>
      <c r="G46" s="28" t="str">
        <f>IFERROR(__xludf.DUMMYFUNCTION("AI(""Extract the Value from the description""&amp;D46)"),"purchasing status remains accurate.")</f>
        <v>purchasing status remains accurate.</v>
      </c>
      <c r="H46" s="31" t="str">
        <f t="array" ref="H46">INDEX('ELI Data File'!D:D, MATCH(A46, 'ELI Data File'!A:A, 0))</f>
        <v>PH-01</v>
      </c>
      <c r="I46" s="29"/>
      <c r="J46" s="32" t="str">
        <f t="array" ref="J46">INDEX('ELI Data File'!O:O, MATCH(A46, 'ELI Data File'!A:A, 0))</f>
        <v>Medium</v>
      </c>
      <c r="K46" s="33">
        <f t="array" ref="K46">INDEX('ELI Data File'!P:P, MATCH(A46, 'ELI Data File'!A:A, 0))*4</f>
        <v>12</v>
      </c>
      <c r="L46" s="33">
        <f t="shared" si="1"/>
        <v>3</v>
      </c>
      <c r="M46" s="33">
        <f t="shared" si="3"/>
        <v>5</v>
      </c>
      <c r="N46" s="33">
        <f t="shared" si="2"/>
        <v>20</v>
      </c>
      <c r="O46" s="25"/>
      <c r="P46" s="26"/>
      <c r="Q46" s="26"/>
      <c r="R46" s="26"/>
      <c r="S46" s="26"/>
      <c r="T46" s="26"/>
    </row>
    <row r="47">
      <c r="A47" s="34" t="s">
        <v>286</v>
      </c>
      <c r="B47" s="35" t="str">
        <f t="array" ref="B47">INDEX('ELI Data File'!I:I, MATCH(A47, 'ELI Data File'!A:A, 0))</f>
        <v>Purchase Management</v>
      </c>
      <c r="C47" s="35" t="str">
        <f t="array" ref="C47">INDEX('ELI Data File'!J:J, MATCH(A47, 'ELI Data File'!A:A, 0))</f>
        <v>Source Supply from Vendors</v>
      </c>
      <c r="D47" s="36" t="str">
        <f t="array" ref="D47">INDEX('ELI Data File'!M:M, MATCH(A47, 'ELI Data File'!A:A, 0))</f>
        <v>As Compliance, I want vendor eligibility evaluated so sourcing complies with certifications and risk policies.</v>
      </c>
      <c r="E47" s="37" t="str">
        <f t="array" ref="E47">INDEX('ELI Data File'!H:H, MATCH(A47, 'ELI Data File'!A:A, 0))</f>
        <v>Finance / Compliance / Admin</v>
      </c>
      <c r="F47" s="35" t="str">
        <f>IFERROR(__xludf.DUMMYFUNCTION("AI(""Extract the Goal from the description""&amp;D47)"),"vendor eligibility evaluated")</f>
        <v>vendor eligibility evaluated</v>
      </c>
      <c r="G47" s="35" t="str">
        <f>IFERROR(__xludf.DUMMYFUNCTION("AI(""Extract the Value from the description""&amp;D47)"),"sourcing complies with certifications and risk policies.")</f>
        <v>sourcing complies with certifications and risk policies.</v>
      </c>
      <c r="H47" s="38" t="str">
        <f t="array" ref="H47">INDEX('ELI Data File'!D:D, MATCH(A47, 'ELI Data File'!A:A, 0))</f>
        <v>PH-01</v>
      </c>
      <c r="I47" s="36"/>
      <c r="J47" s="39" t="str">
        <f t="array" ref="J47">INDEX('ELI Data File'!O:O, MATCH(A47, 'ELI Data File'!A:A, 0))</f>
        <v>Medium</v>
      </c>
      <c r="K47" s="40">
        <f t="array" ref="K47">INDEX('ELI Data File'!P:P, MATCH(A47, 'ELI Data File'!A:A, 0))*4</f>
        <v>12</v>
      </c>
      <c r="L47" s="40">
        <f t="shared" si="1"/>
        <v>3</v>
      </c>
      <c r="M47" s="40">
        <f t="shared" si="3"/>
        <v>5</v>
      </c>
      <c r="N47" s="40">
        <f t="shared" si="2"/>
        <v>20</v>
      </c>
      <c r="O47" s="25"/>
      <c r="P47" s="26"/>
      <c r="Q47" s="26"/>
      <c r="R47" s="26"/>
      <c r="S47" s="26"/>
      <c r="T47" s="26"/>
    </row>
    <row r="48">
      <c r="A48" s="27" t="s">
        <v>287</v>
      </c>
      <c r="B48" s="28" t="str">
        <f t="array" ref="B48">INDEX('ELI Data File'!I:I, MATCH(A48, 'ELI Data File'!A:A, 0))</f>
        <v>Purchase Management</v>
      </c>
      <c r="C48" s="28" t="str">
        <f t="array" ref="C48">INDEX('ELI Data File'!J:J, MATCH(A48, 'ELI Data File'!A:A, 0))</f>
        <v>Source Supply from Vendors</v>
      </c>
      <c r="D48" s="29" t="str">
        <f t="array" ref="D48">INDEX('ELI Data File'!M:M, MATCH(A48, 'ELI Data File'!A:A, 0))</f>
        <v>As Ops, I want to compare vendor lead times and SLAs so sourcing decisions meet fulfillment needs.</v>
      </c>
      <c r="E48" s="30" t="str">
        <f t="array" ref="E48">INDEX('ELI Data File'!H:H, MATCH(A48, 'ELI Data File'!A:A, 0))</f>
        <v>Operations / Order Management</v>
      </c>
      <c r="F48" s="28" t="str">
        <f>IFERROR(__xludf.DUMMYFUNCTION("AI(""Extract the Goal from the description""&amp;D48)"),"compare vendor lead times and SLAs")</f>
        <v>compare vendor lead times and SLAs</v>
      </c>
      <c r="G48" s="28" t="str">
        <f>IFERROR(__xludf.DUMMYFUNCTION("AI(""Extract the Value from the description""&amp;D48)"),"sourcing decisions meet fulfillment needs.")</f>
        <v>sourcing decisions meet fulfillment needs.</v>
      </c>
      <c r="H48" s="31" t="str">
        <f t="array" ref="H48">INDEX('ELI Data File'!D:D, MATCH(A48, 'ELI Data File'!A:A, 0))</f>
        <v>PH-01</v>
      </c>
      <c r="I48" s="29"/>
      <c r="J48" s="32" t="str">
        <f t="array" ref="J48">INDEX('ELI Data File'!O:O, MATCH(A48, 'ELI Data File'!A:A, 0))</f>
        <v>Medium</v>
      </c>
      <c r="K48" s="33">
        <f t="array" ref="K48">INDEX('ELI Data File'!P:P, MATCH(A48, 'ELI Data File'!A:A, 0))*4</f>
        <v>12</v>
      </c>
      <c r="L48" s="33">
        <f t="shared" si="1"/>
        <v>3</v>
      </c>
      <c r="M48" s="33">
        <f t="shared" si="3"/>
        <v>5</v>
      </c>
      <c r="N48" s="33">
        <f t="shared" si="2"/>
        <v>20</v>
      </c>
      <c r="O48" s="25"/>
      <c r="P48" s="26"/>
      <c r="Q48" s="26"/>
      <c r="R48" s="26"/>
      <c r="S48" s="26"/>
      <c r="T48" s="26"/>
    </row>
    <row r="49">
      <c r="A49" s="34" t="s">
        <v>288</v>
      </c>
      <c r="B49" s="35" t="str">
        <f t="array" ref="B49">INDEX('ELI Data File'!I:I, MATCH(A49, 'ELI Data File'!A:A, 0))</f>
        <v>Purchase Management</v>
      </c>
      <c r="C49" s="35" t="str">
        <f t="array" ref="C49">INDEX('ELI Data File'!J:J, MATCH(A49, 'ELI Data File'!A:A, 0))</f>
        <v>Source Supply from Vendors</v>
      </c>
      <c r="D49" s="36" t="str">
        <f t="array" ref="D49">INDEX('ELI Data File'!M:M, MATCH(A49, 'ELI Data File'!A:A, 0))</f>
        <v>As Ops, I want the system to select the optimal vendor so cost, compliance, and delivery goals are balanced.</v>
      </c>
      <c r="E49" s="37" t="str">
        <f t="array" ref="E49">INDEX('ELI Data File'!H:H, MATCH(A49, 'ELI Data File'!A:A, 0))</f>
        <v>Operations / Order Management</v>
      </c>
      <c r="F49" s="35" t="str">
        <f>IFERROR(__xludf.DUMMYFUNCTION("AI(""Extract the Goal from the description""&amp;D49)"),"select the optimal vendor")</f>
        <v>select the optimal vendor</v>
      </c>
      <c r="G49" s="35" t="str">
        <f>IFERROR(__xludf.DUMMYFUNCTION("AI(""Extract the Value from the description""&amp;D49)"),"cost, compliance, and delivery goals are balanced.")</f>
        <v>cost, compliance, and delivery goals are balanced.</v>
      </c>
      <c r="H49" s="38" t="str">
        <f t="array" ref="H49">INDEX('ELI Data File'!D:D, MATCH(A49, 'ELI Data File'!A:A, 0))</f>
        <v>PH-01</v>
      </c>
      <c r="I49" s="36"/>
      <c r="J49" s="39" t="str">
        <f t="array" ref="J49">INDEX('ELI Data File'!O:O, MATCH(A49, 'ELI Data File'!A:A, 0))</f>
        <v>Medium</v>
      </c>
      <c r="K49" s="40">
        <f t="array" ref="K49">INDEX('ELI Data File'!P:P, MATCH(A49, 'ELI Data File'!A:A, 0))*4</f>
        <v>12</v>
      </c>
      <c r="L49" s="40">
        <f t="shared" si="1"/>
        <v>3</v>
      </c>
      <c r="M49" s="40">
        <f t="shared" si="3"/>
        <v>5</v>
      </c>
      <c r="N49" s="40">
        <f t="shared" si="2"/>
        <v>20</v>
      </c>
      <c r="O49" s="25"/>
      <c r="P49" s="26"/>
      <c r="Q49" s="26"/>
      <c r="R49" s="26"/>
      <c r="S49" s="26"/>
      <c r="T49" s="26"/>
    </row>
    <row r="50">
      <c r="A50" s="27" t="s">
        <v>289</v>
      </c>
      <c r="B50" s="28" t="str">
        <f t="array" ref="B50">INDEX('ELI Data File'!I:I, MATCH(A50, 'ELI Data File'!A:A, 0))</f>
        <v>Sales Order Processing</v>
      </c>
      <c r="C50" s="28" t="str">
        <f t="array" ref="C50">INDEX('ELI Data File'!J:J, MATCH(A50, 'ELI Data File'!A:A, 0))</f>
        <v>Sales Order Processing</v>
      </c>
      <c r="D50" s="29" t="str">
        <f t="array" ref="D50">INDEX('ELI Data File'!M:M, MATCH(A50, 'ELI Data File'!A:A, 0))</f>
        <v>Capture order header and lines tied to a customer context.</v>
      </c>
      <c r="E50" s="30" t="str">
        <f t="array" ref="E50">INDEX('ELI Data File'!H:H, MATCH(A50, 'ELI Data File'!A:A, 0))</f>
        <v>N/A</v>
      </c>
      <c r="F50" s="28" t="str">
        <f>IFERROR(__xludf.DUMMYFUNCTION("AI(""Extract the Goal from the description""&amp;D50)"),"Capture order header and lines tied to a customer context.")</f>
        <v>Capture order header and lines tied to a customer context.</v>
      </c>
      <c r="G50" s="28" t="str">
        <f>IFERROR(__xludf.DUMMYFUNCTION("AI(""Extract the Value from the description""&amp;D50)"),"This description does not follow the standard ""As a... I want to... so I can..."" format. The goal of this story is ""Capture order header and lines tied to a customer context."" Since there is no ""so I can"" clause, I cannot extract the value.")</f>
        <v>This description does not follow the standard "As a... I want to... so I can..." format. The goal of this story is "Capture order header and lines tied to a customer context." Since there is no "so I can" clause, I cannot extract the value.</v>
      </c>
      <c r="H50" s="31" t="str">
        <f t="array" ref="H50">INDEX('ELI Data File'!D:D, MATCH(A50, 'ELI Data File'!A:A, 0))</f>
        <v>PH-01</v>
      </c>
      <c r="I50" s="29"/>
      <c r="J50" s="32" t="str">
        <f t="array" ref="J50">INDEX('ELI Data File'!O:O, MATCH(A50, 'ELI Data File'!A:A, 0))</f>
        <v>Medium</v>
      </c>
      <c r="K50" s="33">
        <f t="array" ref="K50">INDEX('ELI Data File'!P:P, MATCH(A50, 'ELI Data File'!A:A, 0))*4</f>
        <v>20</v>
      </c>
      <c r="L50" s="33">
        <f t="shared" si="1"/>
        <v>4</v>
      </c>
      <c r="M50" s="33">
        <f t="shared" si="3"/>
        <v>8</v>
      </c>
      <c r="N50" s="33">
        <f t="shared" si="2"/>
        <v>32</v>
      </c>
      <c r="O50" s="25"/>
      <c r="P50" s="26"/>
      <c r="Q50" s="26"/>
      <c r="R50" s="26"/>
      <c r="S50" s="26"/>
      <c r="T50" s="26"/>
    </row>
    <row r="51">
      <c r="A51" s="34" t="s">
        <v>290</v>
      </c>
      <c r="B51" s="35" t="str">
        <f t="array" ref="B51">INDEX('ELI Data File'!I:I, MATCH(A51, 'ELI Data File'!A:A, 0))</f>
        <v>Sales Order Processing</v>
      </c>
      <c r="C51" s="35" t="str">
        <f t="array" ref="C51">INDEX('ELI Data File'!J:J, MATCH(A51, 'ELI Data File'!A:A, 0))</f>
        <v>Sales Order Processing</v>
      </c>
      <c r="D51" s="36" t="str">
        <f t="array" ref="D51">INDEX('ELI Data File'!M:M, MATCH(A51, 'ELI Data File'!A:A, 0))</f>
        <v>Resolve active contract(s) and customer compliance requirements for this order.</v>
      </c>
      <c r="E51" s="37" t="str">
        <f t="array" ref="E51">INDEX('ELI Data File'!H:H, MATCH(A51, 'ELI Data File'!A:A, 0))</f>
        <v>N/A</v>
      </c>
      <c r="F51" s="35" t="str">
        <f>IFERROR(__xludf.DUMMYFUNCTION("AI(""Extract the Goal from the description""&amp;D51)"),"Resolve active contract(s) and customer compliance requirements for this order.")</f>
        <v>Resolve active contract(s) and customer compliance requirements for this order.</v>
      </c>
      <c r="G51" s="35" t="str">
        <f>IFERROR(__xludf.DUMMYFUNCTION("AI(""Extract the Value from the description""&amp;D51)"),"Ensure terms are consistent and auditable, and non-compliant orders are blocked.")</f>
        <v>Ensure terms are consistent and auditable, and non-compliant orders are blocked.</v>
      </c>
      <c r="H51" s="38" t="str">
        <f t="array" ref="H51">INDEX('ELI Data File'!D:D, MATCH(A51, 'ELI Data File'!A:A, 0))</f>
        <v>PH-01</v>
      </c>
      <c r="I51" s="36"/>
      <c r="J51" s="39" t="str">
        <f t="array" ref="J51">INDEX('ELI Data File'!O:O, MATCH(A51, 'ELI Data File'!A:A, 0))</f>
        <v>High</v>
      </c>
      <c r="K51" s="40">
        <f t="array" ref="K51">INDEX('ELI Data File'!P:P, MATCH(A51, 'ELI Data File'!A:A, 0))*4</f>
        <v>32</v>
      </c>
      <c r="L51" s="40">
        <f t="shared" si="1"/>
        <v>7</v>
      </c>
      <c r="M51" s="40">
        <f t="shared" si="3"/>
        <v>13</v>
      </c>
      <c r="N51" s="40">
        <f t="shared" si="2"/>
        <v>52</v>
      </c>
      <c r="O51" s="25"/>
      <c r="P51" s="26"/>
      <c r="Q51" s="26"/>
      <c r="R51" s="26"/>
      <c r="S51" s="26"/>
      <c r="T51" s="26"/>
    </row>
    <row r="52">
      <c r="A52" s="27" t="s">
        <v>291</v>
      </c>
      <c r="B52" s="28" t="str">
        <f t="array" ref="B52">INDEX('ELI Data File'!I:I, MATCH(A52, 'ELI Data File'!A:A, 0))</f>
        <v>Sales Order Processing</v>
      </c>
      <c r="C52" s="28" t="str">
        <f t="array" ref="C52">INDEX('ELI Data File'!J:J, MATCH(A52, 'ELI Data File'!A:A, 0))</f>
        <v>Sales Order Processing</v>
      </c>
      <c r="D52" s="29" t="str">
        <f t="array" ref="D52">INDEX('ELI Data File'!M:M, MATCH(A52, 'ELI Data File'!A:A, 0))</f>
        <v>Apply tiered pricing, rebates/penalties, and ensure terms are consistent and auditable.</v>
      </c>
      <c r="E52" s="30" t="str">
        <f t="array" ref="E52">INDEX('ELI Data File'!H:H, MATCH(A52, 'ELI Data File'!A:A, 0))</f>
        <v>N/A</v>
      </c>
      <c r="F52" s="28" t="str">
        <f>IFERROR(__xludf.DUMMYFUNCTION("AI(""Extract the Goal from the description""&amp;D52)"),"Apply tiered pricing, rebates/penalties, and ensure terms are consistent and auditable.")</f>
        <v>Apply tiered pricing, rebates/penalties, and ensure terms are consistent and auditable.</v>
      </c>
      <c r="G52" s="28" t="str">
        <f>IFERROR(__xludf.DUMMYFUNCTION("AI(""Extract the Value from the description""&amp;D52)"),"ensure terms are consistent and auditable.")</f>
        <v>ensure terms are consistent and auditable.</v>
      </c>
      <c r="H52" s="31" t="str">
        <f t="array" ref="H52">INDEX('ELI Data File'!D:D, MATCH(A52, 'ELI Data File'!A:A, 0))</f>
        <v>PH-01</v>
      </c>
      <c r="I52" s="29"/>
      <c r="J52" s="32" t="str">
        <f t="array" ref="J52">INDEX('ELI Data File'!O:O, MATCH(A52, 'ELI Data File'!A:A, 0))</f>
        <v>High</v>
      </c>
      <c r="K52" s="33">
        <f t="array" ref="K52">INDEX('ELI Data File'!P:P, MATCH(A52, 'ELI Data File'!A:A, 0))*4</f>
        <v>32</v>
      </c>
      <c r="L52" s="33">
        <f t="shared" si="1"/>
        <v>7</v>
      </c>
      <c r="M52" s="33">
        <f t="shared" si="3"/>
        <v>13</v>
      </c>
      <c r="N52" s="33">
        <f t="shared" si="2"/>
        <v>52</v>
      </c>
      <c r="O52" s="25"/>
      <c r="P52" s="26"/>
      <c r="Q52" s="26"/>
      <c r="R52" s="26"/>
      <c r="S52" s="26"/>
      <c r="T52" s="26"/>
    </row>
    <row r="53">
      <c r="A53" s="34" t="s">
        <v>292</v>
      </c>
      <c r="B53" s="35" t="str">
        <f t="array" ref="B53">INDEX('ELI Data File'!I:I, MATCH(A53, 'ELI Data File'!A:A, 0))</f>
        <v>Sales Order Processing</v>
      </c>
      <c r="C53" s="35" t="str">
        <f t="array" ref="C53">INDEX('ELI Data File'!J:J, MATCH(A53, 'ELI Data File'!A:A, 0))</f>
        <v>Sales Order Processing</v>
      </c>
      <c r="D53" s="36" t="str">
        <f t="array" ref="D53">INDEX('ELI Data File'!M:M, MATCH(A53, 'ELI Data File'!A:A, 0))</f>
        <v>Identify orders requiring approval and route to Finance/Admin for decision.</v>
      </c>
      <c r="E53" s="37" t="str">
        <f t="array" ref="E53">INDEX('ELI Data File'!H:H, MATCH(A53, 'ELI Data File'!A:A, 0))</f>
        <v>N/A</v>
      </c>
      <c r="F53" s="35" t="str">
        <f>IFERROR(__xludf.DUMMYFUNCTION("AI(""Extract the Goal from the description""&amp;D53)"),"Identify orders requiring approval and route to Finance/Admin for decision.")</f>
        <v>Identify orders requiring approval and route to Finance/Admin for decision.</v>
      </c>
      <c r="G53" s="35" t="str">
        <f>IFERROR(__xludf.DUMMYFUNCTION("AI(""Extract the Value from the description""&amp;D53)"),"for decision.")</f>
        <v>for decision.</v>
      </c>
      <c r="H53" s="38" t="str">
        <f t="array" ref="H53">INDEX('ELI Data File'!D:D, MATCH(A53, 'ELI Data File'!A:A, 0))</f>
        <v>PH-01</v>
      </c>
      <c r="I53" s="36"/>
      <c r="J53" s="39" t="str">
        <f t="array" ref="J53">INDEX('ELI Data File'!O:O, MATCH(A53, 'ELI Data File'!A:A, 0))</f>
        <v>Medium</v>
      </c>
      <c r="K53" s="40">
        <f t="array" ref="K53">INDEX('ELI Data File'!P:P, MATCH(A53, 'ELI Data File'!A:A, 0))*4</f>
        <v>20</v>
      </c>
      <c r="L53" s="40">
        <f t="shared" si="1"/>
        <v>4</v>
      </c>
      <c r="M53" s="40">
        <f t="shared" si="3"/>
        <v>8</v>
      </c>
      <c r="N53" s="40">
        <f t="shared" si="2"/>
        <v>32</v>
      </c>
      <c r="O53" s="25"/>
      <c r="P53" s="26"/>
      <c r="Q53" s="26"/>
      <c r="R53" s="26"/>
      <c r="S53" s="26"/>
      <c r="T53" s="26"/>
    </row>
    <row r="54">
      <c r="A54" s="27" t="s">
        <v>293</v>
      </c>
      <c r="B54" s="28" t="str">
        <f t="array" ref="B54">INDEX('ELI Data File'!I:I, MATCH(A54, 'ELI Data File'!A:A, 0))</f>
        <v>Sales Order Processing</v>
      </c>
      <c r="C54" s="28" t="str">
        <f t="array" ref="C54">INDEX('ELI Data File'!J:J, MATCH(A54, 'ELI Data File'!A:A, 0))</f>
        <v>Sales Order Processing</v>
      </c>
      <c r="D54" s="29" t="str">
        <f t="array" ref="D54">INDEX('ELI Data File'!M:M, MATCH(A54, 'ELI Data File'!A:A, 0))</f>
        <v>Transition approved orders to a fulfillment-ready state and emit downstream signals.</v>
      </c>
      <c r="E54" s="30" t="str">
        <f t="array" ref="E54">INDEX('ELI Data File'!H:H, MATCH(A54, 'ELI Data File'!A:A, 0))</f>
        <v>N/A</v>
      </c>
      <c r="F54" s="28" t="str">
        <f>IFERROR(__xludf.DUMMYFUNCTION("AI(""Extract the Goal from the description""&amp;D54)"),"Transition approved orders to a fulfillment-ready state and emit downstream signals.")</f>
        <v>Transition approved orders to a fulfillment-ready state and emit downstream signals.</v>
      </c>
      <c r="G54" s="28" t="str">
        <f>IFERROR(__xludf.DUMMYFUNCTION("AI(""Extract the Value from the description""&amp;D54)"),"emit downstream signals")</f>
        <v>emit downstream signals</v>
      </c>
      <c r="H54" s="31" t="str">
        <f t="array" ref="H54">INDEX('ELI Data File'!D:D, MATCH(A54, 'ELI Data File'!A:A, 0))</f>
        <v>PH-01</v>
      </c>
      <c r="I54" s="29"/>
      <c r="J54" s="32" t="str">
        <f t="array" ref="J54">INDEX('ELI Data File'!O:O, MATCH(A54, 'ELI Data File'!A:A, 0))</f>
        <v>Medium</v>
      </c>
      <c r="K54" s="33">
        <f t="array" ref="K54">INDEX('ELI Data File'!P:P, MATCH(A54, 'ELI Data File'!A:A, 0))*4</f>
        <v>20</v>
      </c>
      <c r="L54" s="33">
        <f t="shared" si="1"/>
        <v>4</v>
      </c>
      <c r="M54" s="33">
        <f t="shared" si="3"/>
        <v>8</v>
      </c>
      <c r="N54" s="33">
        <f t="shared" si="2"/>
        <v>32</v>
      </c>
      <c r="O54" s="25"/>
      <c r="P54" s="26"/>
      <c r="Q54" s="26"/>
      <c r="R54" s="26"/>
      <c r="S54" s="26"/>
      <c r="T54" s="26"/>
    </row>
    <row r="55">
      <c r="A55" s="34" t="s">
        <v>294</v>
      </c>
      <c r="B55" s="35" t="str">
        <f t="array" ref="B55">INDEX('ELI Data File'!I:I, MATCH(A55, 'ELI Data File'!A:A, 0))</f>
        <v>Fulfillment Execution</v>
      </c>
      <c r="C55" s="35" t="str">
        <f t="array" ref="C55">INDEX('ELI Data File'!J:J, MATCH(A55, 'ELI Data File'!A:A, 0))</f>
        <v>Fulfillment Execution</v>
      </c>
      <c r="D55" s="36" t="str">
        <f t="array" ref="D55">INDEX('ELI Data File'!M:M, MATCH(A55, 'ELI Data File'!A:A, 0))</f>
        <v>Choose warehouse/vendor sources and split the order when needed to meet SLAs and rules.</v>
      </c>
      <c r="E55" s="37" t="str">
        <f t="array" ref="E55">INDEX('ELI Data File'!H:H, MATCH(A55, 'ELI Data File'!A:A, 0))</f>
        <v>N/A</v>
      </c>
      <c r="F55" s="35" t="str">
        <f>IFERROR(__xludf.DUMMYFUNCTION("AI(""Extract the Goal from the description""&amp;D55)"),"Choose warehouse/vendor sources and split the order when needed")</f>
        <v>Choose warehouse/vendor sources and split the order when needed</v>
      </c>
      <c r="G55" s="35" t="str">
        <f>IFERROR(__xludf.DUMMYFUNCTION("AI(""Extract the Value from the description""&amp;D55)"),"meet SLAs and rules.")</f>
        <v>meet SLAs and rules.</v>
      </c>
      <c r="H55" s="38" t="str">
        <f t="array" ref="H55">INDEX('ELI Data File'!D:D, MATCH(A55, 'ELI Data File'!A:A, 0))</f>
        <v>PH-01</v>
      </c>
      <c r="I55" s="36"/>
      <c r="J55" s="39" t="str">
        <f t="array" ref="J55">INDEX('ELI Data File'!O:O, MATCH(A55, 'ELI Data File'!A:A, 0))</f>
        <v>High</v>
      </c>
      <c r="K55" s="40">
        <f t="array" ref="K55">INDEX('ELI Data File'!P:P, MATCH(A55, 'ELI Data File'!A:A, 0))*4</f>
        <v>32</v>
      </c>
      <c r="L55" s="40">
        <f t="shared" si="1"/>
        <v>7</v>
      </c>
      <c r="M55" s="40">
        <f t="shared" si="3"/>
        <v>13</v>
      </c>
      <c r="N55" s="40">
        <f t="shared" si="2"/>
        <v>52</v>
      </c>
      <c r="O55" s="25"/>
      <c r="P55" s="26"/>
      <c r="Q55" s="26"/>
      <c r="R55" s="26"/>
      <c r="S55" s="26"/>
      <c r="T55" s="26"/>
    </row>
    <row r="56">
      <c r="A56" s="27" t="s">
        <v>295</v>
      </c>
      <c r="B56" s="28" t="str">
        <f t="array" ref="B56">INDEX('ELI Data File'!I:I, MATCH(A56, 'ELI Data File'!A:A, 0))</f>
        <v>Fulfillment Execution</v>
      </c>
      <c r="C56" s="28" t="str">
        <f t="array" ref="C56">INDEX('ELI Data File'!J:J, MATCH(A56, 'ELI Data File'!A:A, 0))</f>
        <v>Fulfillment Execution</v>
      </c>
      <c r="D56" s="29" t="str">
        <f t="array" ref="D56">INDEX('ELI Data File'!M:M, MATCH(A56, 'ELI Data File'!A:A, 0))</f>
        <v>Reserve inventory for the chosen sources and prevent double-allocation.</v>
      </c>
      <c r="E56" s="30" t="str">
        <f t="array" ref="E56">INDEX('ELI Data File'!H:H, MATCH(A56, 'ELI Data File'!A:A, 0))</f>
        <v>N/A</v>
      </c>
      <c r="F56" s="28" t="str">
        <f>IFERROR(__xludf.DUMMYFUNCTION("AI(""Extract the Goal from the description""&amp;D56)"),"Reserve inventory for the chosen sources and prevent double-allocation.")</f>
        <v>Reserve inventory for the chosen sources and prevent double-allocation.</v>
      </c>
      <c r="G56" s="28" t="str">
        <f>IFERROR(__xludf.DUMMYFUNCTION("AI(""Extract the Value from the description""&amp;D56)"),"prevent double-allocation.")</f>
        <v>prevent double-allocation.</v>
      </c>
      <c r="H56" s="31" t="str">
        <f t="array" ref="H56">INDEX('ELI Data File'!D:D, MATCH(A56, 'ELI Data File'!A:A, 0))</f>
        <v>PH-01</v>
      </c>
      <c r="I56" s="29"/>
      <c r="J56" s="32" t="str">
        <f t="array" ref="J56">INDEX('ELI Data File'!O:O, MATCH(A56, 'ELI Data File'!A:A, 0))</f>
        <v>High</v>
      </c>
      <c r="K56" s="33">
        <f t="array" ref="K56">INDEX('ELI Data File'!P:P, MATCH(A56, 'ELI Data File'!A:A, 0))*4</f>
        <v>32</v>
      </c>
      <c r="L56" s="33">
        <f t="shared" si="1"/>
        <v>7</v>
      </c>
      <c r="M56" s="33">
        <f t="shared" si="3"/>
        <v>13</v>
      </c>
      <c r="N56" s="33">
        <f t="shared" si="2"/>
        <v>52</v>
      </c>
      <c r="O56" s="25"/>
      <c r="P56" s="26"/>
      <c r="Q56" s="26"/>
      <c r="R56" s="26"/>
      <c r="S56" s="26"/>
      <c r="T56" s="26"/>
    </row>
    <row r="57">
      <c r="A57" s="34" t="s">
        <v>296</v>
      </c>
      <c r="B57" s="35" t="str">
        <f t="array" ref="B57">INDEX('ELI Data File'!I:I, MATCH(A57, 'ELI Data File'!A:A, 0))</f>
        <v>Fulfillment Execution</v>
      </c>
      <c r="C57" s="35" t="str">
        <f t="array" ref="C57">INDEX('ELI Data File'!J:J, MATCH(A57, 'ELI Data File'!A:A, 0))</f>
        <v>Fulfillment Execution</v>
      </c>
      <c r="D57" s="36" t="str">
        <f t="array" ref="D57">INDEX('ELI Data File'!M:M, MATCH(A57, 'ELI Data File'!A:A, 0))</f>
        <v>Validate substitutions against contracts, certifications, and geographic/regulatory constraints.</v>
      </c>
      <c r="E57" s="37" t="str">
        <f t="array" ref="E57">INDEX('ELI Data File'!H:H, MATCH(A57, 'ELI Data File'!A:A, 0))</f>
        <v>N/A</v>
      </c>
      <c r="F57" s="35" t="str">
        <f>IFERROR(__xludf.DUMMYFUNCTION("AI(""Extract the Goal from the description""&amp;D57)"),"Validate substitutions against contracts, certifications, and geographic/regulatory constraints.")</f>
        <v>Validate substitutions against contracts, certifications, and geographic/regulatory constraints.</v>
      </c>
      <c r="G57" s="35" t="str">
        <f>IFERROR(__xludf.DUMMYFUNCTION("AI(""Extract the Value from the description""&amp;D57)"),"ensure compliance with contracts, certifications, and geographic/regulatory constraints.")</f>
        <v>ensure compliance with contracts, certifications, and geographic/regulatory constraints.</v>
      </c>
      <c r="H57" s="38" t="str">
        <f t="array" ref="H57">INDEX('ELI Data File'!D:D, MATCH(A57, 'ELI Data File'!A:A, 0))</f>
        <v>PH-01</v>
      </c>
      <c r="I57" s="36"/>
      <c r="J57" s="39" t="str">
        <f t="array" ref="J57">INDEX('ELI Data File'!O:O, MATCH(A57, 'ELI Data File'!A:A, 0))</f>
        <v>High</v>
      </c>
      <c r="K57" s="40">
        <f t="array" ref="K57">INDEX('ELI Data File'!P:P, MATCH(A57, 'ELI Data File'!A:A, 0))*4</f>
        <v>32</v>
      </c>
      <c r="L57" s="40">
        <f t="shared" si="1"/>
        <v>7</v>
      </c>
      <c r="M57" s="40">
        <f t="shared" si="3"/>
        <v>13</v>
      </c>
      <c r="N57" s="40">
        <f t="shared" si="2"/>
        <v>52</v>
      </c>
      <c r="O57" s="25"/>
      <c r="P57" s="26"/>
      <c r="Q57" s="26"/>
      <c r="R57" s="26"/>
      <c r="S57" s="26"/>
      <c r="T57" s="26"/>
    </row>
    <row r="58">
      <c r="A58" s="27" t="s">
        <v>297</v>
      </c>
      <c r="B58" s="28" t="str">
        <f t="array" ref="B58">INDEX('ELI Data File'!I:I, MATCH(A58, 'ELI Data File'!A:A, 0))</f>
        <v>Fulfillment Execution</v>
      </c>
      <c r="C58" s="28" t="str">
        <f t="array" ref="C58">INDEX('ELI Data File'!J:J, MATCH(A58, 'ELI Data File'!A:A, 0))</f>
        <v>Fulfillment Execution</v>
      </c>
      <c r="D58" s="29" t="str">
        <f t="array" ref="D58">INDEX('ELI Data File'!M:M, MATCH(A58, 'ELI Data File'!A:A, 0))</f>
        <v>Produce actionable fulfillment instructions for warehouse execution.</v>
      </c>
      <c r="E58" s="30" t="str">
        <f t="array" ref="E58">INDEX('ELI Data File'!H:H, MATCH(A58, 'ELI Data File'!A:A, 0))</f>
        <v>N/A</v>
      </c>
      <c r="F58" s="28" t="str">
        <f>IFERROR(__xludf.DUMMYFUNCTION("AI(""Extract the Goal from the description""&amp;D58)"),"Produce actionable fulfillment instructions")</f>
        <v>Produce actionable fulfillment instructions</v>
      </c>
      <c r="G58" s="28" t="str">
        <f>IFERROR(__xludf.DUMMYFUNCTION("AI(""Extract the Value from the description""&amp;D58)"),"for warehouse execution.")</f>
        <v>for warehouse execution.</v>
      </c>
      <c r="H58" s="31" t="str">
        <f t="array" ref="H58">INDEX('ELI Data File'!D:D, MATCH(A58, 'ELI Data File'!A:A, 0))</f>
        <v>PH-01</v>
      </c>
      <c r="I58" s="29"/>
      <c r="J58" s="32" t="str">
        <f t="array" ref="J58">INDEX('ELI Data File'!O:O, MATCH(A58, 'ELI Data File'!A:A, 0))</f>
        <v>Medium</v>
      </c>
      <c r="K58" s="33">
        <f t="array" ref="K58">INDEX('ELI Data File'!P:P, MATCH(A58, 'ELI Data File'!A:A, 0))*4</f>
        <v>20</v>
      </c>
      <c r="L58" s="33">
        <f t="shared" si="1"/>
        <v>4</v>
      </c>
      <c r="M58" s="33">
        <f t="shared" si="3"/>
        <v>8</v>
      </c>
      <c r="N58" s="33">
        <f t="shared" si="2"/>
        <v>32</v>
      </c>
      <c r="O58" s="25"/>
      <c r="P58" s="26"/>
      <c r="Q58" s="26"/>
      <c r="R58" s="26"/>
      <c r="S58" s="26"/>
      <c r="T58" s="26"/>
    </row>
    <row r="59">
      <c r="A59" s="34" t="s">
        <v>298</v>
      </c>
      <c r="B59" s="35" t="str">
        <f t="array" ref="B59">INDEX('ELI Data File'!I:I, MATCH(A59, 'ELI Data File'!A:A, 0))</f>
        <v>Fulfillment Execution</v>
      </c>
      <c r="C59" s="35" t="str">
        <f t="array" ref="C59">INDEX('ELI Data File'!J:J, MATCH(A59, 'ELI Data File'!A:A, 0))</f>
        <v>Fulfillment Execution</v>
      </c>
      <c r="D59" s="36" t="str">
        <f t="array" ref="D59">INDEX('ELI Data File'!M:M, MATCH(A59, 'ELI Data File'!A:A, 0))</f>
        <v>Mark shipments dispatched, attach tracking, and update order lifecycle state.</v>
      </c>
      <c r="E59" s="37" t="str">
        <f t="array" ref="E59">INDEX('ELI Data File'!H:H, MATCH(A59, 'ELI Data File'!A:A, 0))</f>
        <v>N/A</v>
      </c>
      <c r="F59" s="35" t="str">
        <f>IFERROR(__xludf.DUMMYFUNCTION("AI(""Extract the Goal from the description""&amp;D59)"),"Mark shipments dispatched, attach tracking, and update order lifecycle state.")</f>
        <v>Mark shipments dispatched, attach tracking, and update order lifecycle state.</v>
      </c>
      <c r="G59" s="35" t="str">
        <f>IFERROR(__xludf.DUMMYFUNCTION("AI(""Extract the Value from the description""&amp;D59)"),"Efficient and accurate tracking of the order through its lifecycle.")</f>
        <v>Efficient and accurate tracking of the order through its lifecycle.</v>
      </c>
      <c r="H59" s="38" t="str">
        <f t="array" ref="H59">INDEX('ELI Data File'!D:D, MATCH(A59, 'ELI Data File'!A:A, 0))</f>
        <v>PH-01</v>
      </c>
      <c r="I59" s="36"/>
      <c r="J59" s="39" t="str">
        <f t="array" ref="J59">INDEX('ELI Data File'!O:O, MATCH(A59, 'ELI Data File'!A:A, 0))</f>
        <v>Medium</v>
      </c>
      <c r="K59" s="40">
        <f t="array" ref="K59">INDEX('ELI Data File'!P:P, MATCH(A59, 'ELI Data File'!A:A, 0))*4</f>
        <v>20</v>
      </c>
      <c r="L59" s="40">
        <f t="shared" si="1"/>
        <v>4</v>
      </c>
      <c r="M59" s="40">
        <f t="shared" si="3"/>
        <v>8</v>
      </c>
      <c r="N59" s="40">
        <f t="shared" si="2"/>
        <v>32</v>
      </c>
      <c r="O59" s="25"/>
      <c r="P59" s="26"/>
      <c r="Q59" s="26"/>
      <c r="R59" s="26"/>
      <c r="S59" s="26"/>
      <c r="T59" s="26"/>
    </row>
    <row r="60">
      <c r="A60" s="27" t="s">
        <v>299</v>
      </c>
      <c r="B60" s="28" t="str">
        <f t="array" ref="B60">INDEX('ELI Data File'!I:I, MATCH(A60, 'ELI Data File'!A:A, 0))</f>
        <v>Purchase Replenishment</v>
      </c>
      <c r="C60" s="28" t="str">
        <f t="array" ref="C60">INDEX('ELI Data File'!J:J, MATCH(A60, 'ELI Data File'!A:A, 0))</f>
        <v>Purchase Replenishment</v>
      </c>
      <c r="D60" s="29" t="str">
        <f t="array" ref="D60">INDEX('ELI Data File'!M:M, MATCH(A60, 'ELI Data File'!A:A, 0))</f>
        <v>Identify when demand exceeds available inventory and triggers purchasing.</v>
      </c>
      <c r="E60" s="30" t="str">
        <f t="array" ref="E60">INDEX('ELI Data File'!H:H, MATCH(A60, 'ELI Data File'!A:A, 0))</f>
        <v>N/A</v>
      </c>
      <c r="F60" s="28" t="str">
        <f>IFERROR(__xludf.DUMMYFUNCTION("AI(""Extract the Goal from the description""&amp;D60)"),"Identify when demand exceeds available inventory and triggers purchasing.")</f>
        <v>Identify when demand exceeds available inventory and triggers purchasing.</v>
      </c>
      <c r="G60" s="28" t="str">
        <f>IFERROR(__xludf.DUMMYFUNCTION("AI(""Extract the Value from the description""&amp;D60)"),"triggers purchasing")</f>
        <v>triggers purchasing</v>
      </c>
      <c r="H60" s="31" t="str">
        <f t="array" ref="H60">INDEX('ELI Data File'!D:D, MATCH(A60, 'ELI Data File'!A:A, 0))</f>
        <v>PH-01</v>
      </c>
      <c r="I60" s="29"/>
      <c r="J60" s="32" t="str">
        <f t="array" ref="J60">INDEX('ELI Data File'!O:O, MATCH(A60, 'ELI Data File'!A:A, 0))</f>
        <v>Medium</v>
      </c>
      <c r="K60" s="33">
        <f t="array" ref="K60">INDEX('ELI Data File'!P:P, MATCH(A60, 'ELI Data File'!A:A, 0))*4</f>
        <v>20</v>
      </c>
      <c r="L60" s="33">
        <f t="shared" si="1"/>
        <v>4</v>
      </c>
      <c r="M60" s="33">
        <f t="shared" si="3"/>
        <v>8</v>
      </c>
      <c r="N60" s="33">
        <f t="shared" si="2"/>
        <v>32</v>
      </c>
      <c r="O60" s="25"/>
      <c r="P60" s="26"/>
      <c r="Q60" s="26"/>
      <c r="R60" s="26"/>
      <c r="S60" s="26"/>
      <c r="T60" s="26"/>
    </row>
    <row r="61">
      <c r="A61" s="34" t="s">
        <v>300</v>
      </c>
      <c r="B61" s="35" t="str">
        <f t="array" ref="B61">INDEX('ELI Data File'!I:I, MATCH(A61, 'ELI Data File'!A:A, 0))</f>
        <v>Purchase Replenishment</v>
      </c>
      <c r="C61" s="35" t="str">
        <f t="array" ref="C61">INDEX('ELI Data File'!J:J, MATCH(A61, 'ELI Data File'!A:A, 0))</f>
        <v>Purchase Replenishment</v>
      </c>
      <c r="D61" s="36" t="str">
        <f t="array" ref="D61">INDEX('ELI Data File'!M:M, MATCH(A61, 'ELI Data File'!A:A, 0))</f>
        <v>Ensure vendor eligibility and select optimal vendor based on lead times and rules.</v>
      </c>
      <c r="E61" s="37" t="str">
        <f t="array" ref="E61">INDEX('ELI Data File'!H:H, MATCH(A61, 'ELI Data File'!A:A, 0))</f>
        <v>N/A</v>
      </c>
      <c r="F61" s="35" t="str">
        <f>IFERROR(__xludf.DUMMYFUNCTION("AI(""Extract the Goal from the description""&amp;D61)"),"Ensure vendor eligibility and select optimal vendor based on lead times and rules.")</f>
        <v>Ensure vendor eligibility and select optimal vendor based on lead times and rules.</v>
      </c>
      <c r="G61" s="35" t="str">
        <f>IFERROR(__xludf.DUMMYFUNCTION("AI(""Extract the Value from the description""&amp;D61)"),"based on lead times and rules.")</f>
        <v>based on lead times and rules.</v>
      </c>
      <c r="H61" s="38" t="str">
        <f t="array" ref="H61">INDEX('ELI Data File'!D:D, MATCH(A61, 'ELI Data File'!A:A, 0))</f>
        <v>PH-01</v>
      </c>
      <c r="I61" s="36"/>
      <c r="J61" s="39" t="str">
        <f t="array" ref="J61">INDEX('ELI Data File'!O:O, MATCH(A61, 'ELI Data File'!A:A, 0))</f>
        <v>Medium</v>
      </c>
      <c r="K61" s="40">
        <f t="array" ref="K61">INDEX('ELI Data File'!P:P, MATCH(A61, 'ELI Data File'!A:A, 0))*4</f>
        <v>20</v>
      </c>
      <c r="L61" s="40">
        <f t="shared" si="1"/>
        <v>4</v>
      </c>
      <c r="M61" s="40">
        <f t="shared" si="3"/>
        <v>8</v>
      </c>
      <c r="N61" s="40">
        <f t="shared" si="2"/>
        <v>32</v>
      </c>
      <c r="O61" s="25"/>
      <c r="P61" s="26"/>
      <c r="Q61" s="26"/>
      <c r="R61" s="26"/>
      <c r="S61" s="26"/>
      <c r="T61" s="26"/>
    </row>
    <row r="62">
      <c r="A62" s="27" t="s">
        <v>301</v>
      </c>
      <c r="B62" s="28" t="str">
        <f t="array" ref="B62">INDEX('ELI Data File'!I:I, MATCH(A62, 'ELI Data File'!A:A, 0))</f>
        <v>Purchase Replenishment</v>
      </c>
      <c r="C62" s="28" t="str">
        <f t="array" ref="C62">INDEX('ELI Data File'!J:J, MATCH(A62, 'ELI Data File'!A:A, 0))</f>
        <v>Purchase Replenishment</v>
      </c>
      <c r="D62" s="29" t="str">
        <f t="array" ref="D62">INDEX('ELI Data File'!M:M, MATCH(A62, 'ELI Data File'!A:A, 0))</f>
        <v>Create PO with applied vendor contract terms and required delivery dates.</v>
      </c>
      <c r="E62" s="30" t="str">
        <f t="array" ref="E62">INDEX('ELI Data File'!H:H, MATCH(A62, 'ELI Data File'!A:A, 0))</f>
        <v>N/A</v>
      </c>
      <c r="F62" s="28" t="str">
        <f>IFERROR(__xludf.DUMMYFUNCTION("AI(""Extract the Goal from the description""&amp;D62)"),"Create PO with applied vendor contract terms and required delivery dates.")</f>
        <v>Create PO with applied vendor contract terms and required delivery dates.</v>
      </c>
      <c r="G62" s="28" t="str">
        <f>IFERROR(__xludf.DUMMYFUNCTION("AI(""Extract the Value from the description""&amp;D62)"),"applied vendor contract terms and required delivery dates")</f>
        <v>applied vendor contract terms and required delivery dates</v>
      </c>
      <c r="H62" s="31" t="str">
        <f t="array" ref="H62">INDEX('ELI Data File'!D:D, MATCH(A62, 'ELI Data File'!A:A, 0))</f>
        <v>PH-01</v>
      </c>
      <c r="I62" s="29"/>
      <c r="J62" s="32" t="str">
        <f t="array" ref="J62">INDEX('ELI Data File'!O:O, MATCH(A62, 'ELI Data File'!A:A, 0))</f>
        <v>Medium</v>
      </c>
      <c r="K62" s="33">
        <f t="array" ref="K62">INDEX('ELI Data File'!P:P, MATCH(A62, 'ELI Data File'!A:A, 0))*4</f>
        <v>20</v>
      </c>
      <c r="L62" s="33">
        <f t="shared" si="1"/>
        <v>4</v>
      </c>
      <c r="M62" s="33">
        <f t="shared" si="3"/>
        <v>8</v>
      </c>
      <c r="N62" s="33">
        <f t="shared" si="2"/>
        <v>32</v>
      </c>
      <c r="O62" s="25"/>
      <c r="P62" s="26"/>
      <c r="Q62" s="26"/>
      <c r="R62" s="26"/>
      <c r="S62" s="26"/>
      <c r="T62" s="26"/>
    </row>
    <row r="63">
      <c r="A63" s="34" t="s">
        <v>302</v>
      </c>
      <c r="B63" s="35" t="str">
        <f t="array" ref="B63">INDEX('ELI Data File'!I:I, MATCH(A63, 'ELI Data File'!A:A, 0))</f>
        <v>Inventory / WMS Service</v>
      </c>
      <c r="C63" s="35" t="str">
        <f t="array" ref="C63">INDEX('ELI Data File'!J:J, MATCH(A63, 'ELI Data File'!A:A, 0))</f>
        <v>Inventory / WMS Service</v>
      </c>
      <c r="D63" s="36" t="str">
        <f t="array" ref="D63">INDEX('ELI Data File'!M:M, MATCH(A63, 'ELI Data File'!A:A, 0))</f>
        <v>Source of truth for on-hand/available inventory and the execution surface for reservations and receiving updates.</v>
      </c>
      <c r="E63" s="37" t="str">
        <f t="array" ref="E63">INDEX('ELI Data File'!H:H, MATCH(A63, 'ELI Data File'!A:A, 0))</f>
        <v>N/A</v>
      </c>
      <c r="F63" s="35" t="str">
        <f>IFERROR(__xludf.DUMMYFUNCTION("AI(""Extract the Goal from the description""&amp;D63)"),"be the source of truth for on-hand/available inventory and the execution surface for reservations and receiving updates")</f>
        <v>be the source of truth for on-hand/available inventory and the execution surface for reservations and receiving updates</v>
      </c>
      <c r="G63" s="35" t="str">
        <f>IFERROR(__xludf.DUMMYFUNCTION("AI(""Extract the Value from the description""&amp;D63)"),"on-hand/available inventory and the execution surface for reservations and receiving updates.")</f>
        <v>on-hand/available inventory and the execution surface for reservations and receiving updates.</v>
      </c>
      <c r="H63" s="38" t="str">
        <f t="array" ref="H63">INDEX('ELI Data File'!D:D, MATCH(A63, 'ELI Data File'!A:A, 0))</f>
        <v>PH-01</v>
      </c>
      <c r="I63" s="36"/>
      <c r="J63" s="39" t="str">
        <f t="array" ref="J63">INDEX('ELI Data File'!O:O, MATCH(A63, 'ELI Data File'!A:A, 0))</f>
        <v>High</v>
      </c>
      <c r="K63" s="40">
        <f t="array" ref="K63">INDEX('ELI Data File'!P:P, MATCH(A63, 'ELI Data File'!A:A, 0))*4</f>
        <v>32</v>
      </c>
      <c r="L63" s="40">
        <f t="shared" si="1"/>
        <v>7</v>
      </c>
      <c r="M63" s="40">
        <f t="shared" si="3"/>
        <v>13</v>
      </c>
      <c r="N63" s="40">
        <f t="shared" si="2"/>
        <v>52</v>
      </c>
      <c r="O63" s="25"/>
      <c r="P63" s="26"/>
      <c r="Q63" s="26"/>
      <c r="R63" s="26"/>
      <c r="S63" s="26"/>
      <c r="T63" s="26"/>
    </row>
    <row r="64">
      <c r="A64" s="27" t="s">
        <v>303</v>
      </c>
      <c r="B64" s="28" t="str">
        <f t="array" ref="B64">INDEX('ELI Data File'!I:I, MATCH(A64, 'ELI Data File'!A:A, 0))</f>
        <v>Vendor Portal / Supplier API</v>
      </c>
      <c r="C64" s="28" t="str">
        <f t="array" ref="C64">INDEX('ELI Data File'!J:J, MATCH(A64, 'ELI Data File'!A:A, 0))</f>
        <v>Vendor Portal / Supplier API</v>
      </c>
      <c r="D64" s="29" t="str">
        <f t="array" ref="D64">INDEX('ELI Data File'!M:M, MATCH(A64, 'ELI Data File'!A:A, 0))</f>
        <v>External vendor system(s) providing item availability, lead times, SLAs, and certification status for sourcing and substitution decisions.</v>
      </c>
      <c r="E64" s="30" t="str">
        <f t="array" ref="E64">INDEX('ELI Data File'!H:H, MATCH(A64, 'ELI Data File'!A:A, 0))</f>
        <v>N/A</v>
      </c>
      <c r="F64" s="28" t="str">
        <f>IFERROR(__xludf.DUMMYFUNCTION("AI(""Extract the Goal from the description""&amp;D64)"),"Provide item availability, lead times, SLAs, and certification status for sourcing and substitution decisions")</f>
        <v>Provide item availability, lead times, SLAs, and certification status for sourcing and substitution decisions</v>
      </c>
      <c r="G64" s="28" t="str">
        <f>IFERROR(__xludf.DUMMYFUNCTION("AI(""Extract the Value from the description""&amp;D64)"),"for sourcing and substitution decisions.")</f>
        <v>for sourcing and substitution decisions.</v>
      </c>
      <c r="H64" s="31" t="str">
        <f t="array" ref="H64">INDEX('ELI Data File'!D:D, MATCH(A64, 'ELI Data File'!A:A, 0))</f>
        <v>PH-01</v>
      </c>
      <c r="I64" s="29"/>
      <c r="J64" s="32" t="str">
        <f t="array" ref="J64">INDEX('ELI Data File'!O:O, MATCH(A64, 'ELI Data File'!A:A, 0))</f>
        <v>High</v>
      </c>
      <c r="K64" s="33">
        <f t="array" ref="K64">INDEX('ELI Data File'!P:P, MATCH(A64, 'ELI Data File'!A:A, 0))*4</f>
        <v>32</v>
      </c>
      <c r="L64" s="33">
        <f t="shared" si="1"/>
        <v>7</v>
      </c>
      <c r="M64" s="33">
        <f t="shared" si="3"/>
        <v>13</v>
      </c>
      <c r="N64" s="33">
        <f t="shared" si="2"/>
        <v>52</v>
      </c>
      <c r="O64" s="25"/>
      <c r="P64" s="26"/>
      <c r="Q64" s="26"/>
      <c r="R64" s="26"/>
      <c r="S64" s="26"/>
      <c r="T64" s="26"/>
    </row>
    <row r="65">
      <c r="A65" s="34" t="s">
        <v>304</v>
      </c>
      <c r="B65" s="35" t="str">
        <f t="array" ref="B65">INDEX('ELI Data File'!I:I, MATCH(A65, 'ELI Data File'!A:A, 0))</f>
        <v>Compliance Rules &amp; Restrictions Service</v>
      </c>
      <c r="C65" s="35" t="str">
        <f t="array" ref="C65">INDEX('ELI Data File'!J:J, MATCH(A65, 'ELI Data File'!A:A, 0))</f>
        <v>Compliance Rules &amp; Restrictions Service</v>
      </c>
      <c r="D65" s="36" t="str">
        <f t="array" ref="D65">INDEX('ELI Data File'!M:M, MATCH(A65, 'ELI Data File'!A:A, 0))</f>
        <v>External or internal service that returns compliance rules, geo restrictions, and item-level regulatory attributes for evaluation at order and substitution time.</v>
      </c>
      <c r="E65" s="37" t="str">
        <f t="array" ref="E65">INDEX('ELI Data File'!H:H, MATCH(A65, 'ELI Data File'!A:A, 0))</f>
        <v>N/A</v>
      </c>
      <c r="F65" s="35" t="str">
        <f>IFERROR(__xludf.DUMMYFUNCTION("AI(""Extract the Goal from the description""&amp;D65)"),"returns compliance rules, geo restrictions, and item-level regulatory attributes for evaluation at order and substitution time.")</f>
        <v>returns compliance rules, geo restrictions, and item-level regulatory attributes for evaluation at order and substitution time.</v>
      </c>
      <c r="G65" s="35" t="str">
        <f>IFERROR(__xludf.DUMMYFUNCTION("AI(""Extract the Value from the description""&amp;D65)"),"evaluation at order and substitution time.")</f>
        <v>evaluation at order and substitution time.</v>
      </c>
      <c r="H65" s="38" t="str">
        <f t="array" ref="H65">INDEX('ELI Data File'!D:D, MATCH(A65, 'ELI Data File'!A:A, 0))</f>
        <v>PH-01</v>
      </c>
      <c r="I65" s="36"/>
      <c r="J65" s="39" t="str">
        <f t="array" ref="J65">INDEX('ELI Data File'!O:O, MATCH(A65, 'ELI Data File'!A:A, 0))</f>
        <v>High</v>
      </c>
      <c r="K65" s="40">
        <f t="array" ref="K65">INDEX('ELI Data File'!P:P, MATCH(A65, 'ELI Data File'!A:A, 0))*4</f>
        <v>32</v>
      </c>
      <c r="L65" s="40">
        <f t="shared" si="1"/>
        <v>7</v>
      </c>
      <c r="M65" s="40">
        <f t="shared" si="3"/>
        <v>13</v>
      </c>
      <c r="N65" s="40">
        <f t="shared" si="2"/>
        <v>52</v>
      </c>
      <c r="O65" s="25"/>
      <c r="P65" s="26"/>
      <c r="Q65" s="26"/>
      <c r="R65" s="26"/>
      <c r="S65" s="26"/>
      <c r="T65" s="26"/>
    </row>
    <row r="66">
      <c r="A66" s="27" t="s">
        <v>305</v>
      </c>
      <c r="B66" s="28" t="str">
        <f t="array" ref="B66">INDEX('ELI Data File'!I:I, MATCH(A66, 'ELI Data File'!A:A, 0))</f>
        <v>Messaging / Event Bus</v>
      </c>
      <c r="C66" s="28" t="str">
        <f t="array" ref="C66">INDEX('ELI Data File'!J:J, MATCH(A66, 'ELI Data File'!A:A, 0))</f>
        <v>Messaging / Event Bus</v>
      </c>
      <c r="D66" s="29" t="str">
        <f t="array" ref="D66">INDEX('ELI Data File'!M:M, MATCH(A66, 'ELI Data File'!A:A, 0))</f>
        <v>Central eventing platform used to publish OMS domain events for consumers (ERP integration workers, dashboards, notifications).</v>
      </c>
      <c r="E66" s="30" t="str">
        <f t="array" ref="E66">INDEX('ELI Data File'!H:H, MATCH(A66, 'ELI Data File'!A:A, 0))</f>
        <v>N/A</v>
      </c>
      <c r="F66" s="28" t="str">
        <f>IFERROR(__xludf.DUMMYFUNCTION("AI(""Extract the Goal from the description""&amp;D66)"),"publish OMS domain events for consumers (ERP integration workers, dashboards, notifications)")</f>
        <v>publish OMS domain events for consumers (ERP integration workers, dashboards, notifications)</v>
      </c>
      <c r="G66" s="28" t="str">
        <f>IFERROR(__xludf.DUMMYFUNCTION("AI(""Extract the Value from the description""&amp;D66)"),"consumers (ERP integration workers, dashboards, notifications)")</f>
        <v>consumers (ERP integration workers, dashboards, notifications)</v>
      </c>
      <c r="H66" s="31" t="str">
        <f t="array" ref="H66">INDEX('ELI Data File'!D:D, MATCH(A66, 'ELI Data File'!A:A, 0))</f>
        <v>PH-01</v>
      </c>
      <c r="I66" s="29"/>
      <c r="J66" s="32" t="str">
        <f t="array" ref="J66">INDEX('ELI Data File'!O:O, MATCH(A66, 'ELI Data File'!A:A, 0))</f>
        <v>Medium</v>
      </c>
      <c r="K66" s="33">
        <f t="array" ref="K66">INDEX('ELI Data File'!P:P, MATCH(A66, 'ELI Data File'!A:A, 0))*4</f>
        <v>20</v>
      </c>
      <c r="L66" s="33">
        <f t="shared" si="1"/>
        <v>4</v>
      </c>
      <c r="M66" s="33">
        <f t="shared" si="3"/>
        <v>8</v>
      </c>
      <c r="N66" s="33">
        <f t="shared" si="2"/>
        <v>32</v>
      </c>
      <c r="O66" s="25"/>
      <c r="P66" s="26"/>
      <c r="Q66" s="26"/>
      <c r="R66" s="26"/>
      <c r="S66" s="26"/>
      <c r="T66" s="26"/>
    </row>
    <row r="67">
      <c r="A67" s="34" t="s">
        <v>306</v>
      </c>
      <c r="B67" s="35" t="str">
        <f t="array" ref="B67">INDEX('ELI Data File'!I:I, MATCH(A67, 'ELI Data File'!A:A, 0))</f>
        <v>Foundations</v>
      </c>
      <c r="C67" s="35" t="str">
        <f t="array" ref="C67">INDEX('ELI Data File'!J:J, MATCH(A67, 'ELI Data File'!A:A, 0))</f>
        <v>Navigation and Component Library</v>
      </c>
      <c r="D67" s="36" t="str">
        <f t="array" ref="D67">INDEX('ELI Data File'!M:M, MATCH(A67, 'ELI Data File'!A:A, 0))</f>
        <v>Choose and install a design system</v>
      </c>
      <c r="E67" s="37" t="str">
        <f t="array" ref="E67">INDEX('ELI Data File'!H:H, MATCH(A67, 'ELI Data File'!A:A, 0))</f>
        <v>N/A</v>
      </c>
      <c r="F67" s="35" t="str">
        <f>IFERROR(__xludf.DUMMYFUNCTION("AI(""Extract the Goal from the description""&amp;D67)"),"Choose and install a design system")</f>
        <v>Choose and install a design system</v>
      </c>
      <c r="G67" s="35" t="str">
        <f>IFERROR(__xludf.DUMMYFUNCTION("AI(""Extract the Value from the description""&amp;D67)"),"This description does not contain a specific ""so I can"" value/outcome.")</f>
        <v>This description does not contain a specific "so I can" value/outcome.</v>
      </c>
      <c r="H67" s="38" t="str">
        <f t="array" ref="H67">INDEX('ELI Data File'!D:D, MATCH(A67, 'ELI Data File'!A:A, 0))</f>
        <v>PH-01</v>
      </c>
      <c r="I67" s="36"/>
      <c r="J67" s="39" t="str">
        <f t="array" ref="J67">INDEX('ELI Data File'!O:O, MATCH(A67, 'ELI Data File'!A:A, 0))</f>
        <v>Medium</v>
      </c>
      <c r="K67" s="40">
        <f t="array" ref="K67">INDEX('ELI Data File'!P:P, MATCH(A67, 'ELI Data File'!A:A, 0))*4</f>
        <v>20</v>
      </c>
      <c r="L67" s="40">
        <f t="shared" si="1"/>
        <v>4</v>
      </c>
      <c r="M67" s="40">
        <f t="shared" si="3"/>
        <v>8</v>
      </c>
      <c r="N67" s="40">
        <f t="shared" si="2"/>
        <v>32</v>
      </c>
      <c r="O67" s="25"/>
      <c r="P67" s="26"/>
      <c r="Q67" s="26"/>
      <c r="R67" s="26"/>
      <c r="S67" s="26"/>
      <c r="T67" s="26"/>
    </row>
    <row r="68">
      <c r="A68" s="27" t="s">
        <v>307</v>
      </c>
      <c r="B68" s="28" t="str">
        <f t="array" ref="B68">INDEX('ELI Data File'!I:I, MATCH(A68, 'ELI Data File'!A:A, 0))</f>
        <v>Foundations</v>
      </c>
      <c r="C68" s="28" t="str">
        <f t="array" ref="C68">INDEX('ELI Data File'!J:J, MATCH(A68, 'ELI Data File'!A:A, 0))</f>
        <v>Navigation and Component Library</v>
      </c>
      <c r="D68" s="29" t="str">
        <f t="array" ref="D68">INDEX('ELI Data File'!M:M, MATCH(A68, 'ELI Data File'!A:A, 0))</f>
        <v>Define dashboard shell, sidebar, headers, and modal containers.</v>
      </c>
      <c r="E68" s="30" t="str">
        <f t="array" ref="E68">INDEX('ELI Data File'!H:H, MATCH(A68, 'ELI Data File'!A:A, 0))</f>
        <v>N/A</v>
      </c>
      <c r="F68" s="28" t="str">
        <f>IFERROR(__xludf.DUMMYFUNCTION("AI(""Extract the Goal from the description""&amp;D68)"),"define dashboard shell, sidebar, headers, and modal containers")</f>
        <v>define dashboard shell, sidebar, headers, and modal containers</v>
      </c>
      <c r="G68" s="28" t="str">
        <f>IFERROR(__xludf.DUMMYFUNCTION("AI(""Extract the Value from the description""&amp;D68)"),"No explicit value is stated.")</f>
        <v>No explicit value is stated.</v>
      </c>
      <c r="H68" s="31" t="str">
        <f t="array" ref="H68">INDEX('ELI Data File'!D:D, MATCH(A68, 'ELI Data File'!A:A, 0))</f>
        <v>PH-01</v>
      </c>
      <c r="I68" s="29"/>
      <c r="J68" s="32" t="str">
        <f t="array" ref="J68">INDEX('ELI Data File'!O:O, MATCH(A68, 'ELI Data File'!A:A, 0))</f>
        <v>Medium</v>
      </c>
      <c r="K68" s="33">
        <f t="array" ref="K68">INDEX('ELI Data File'!P:P, MATCH(A68, 'ELI Data File'!A:A, 0))*4</f>
        <v>20</v>
      </c>
      <c r="L68" s="33">
        <f t="shared" si="1"/>
        <v>4</v>
      </c>
      <c r="M68" s="33">
        <f t="shared" si="3"/>
        <v>8</v>
      </c>
      <c r="N68" s="33">
        <f t="shared" si="2"/>
        <v>32</v>
      </c>
      <c r="O68" s="25"/>
      <c r="P68" s="26"/>
      <c r="Q68" s="26"/>
      <c r="R68" s="26"/>
      <c r="S68" s="26"/>
      <c r="T68" s="26"/>
    </row>
    <row r="69">
      <c r="A69" s="34" t="s">
        <v>308</v>
      </c>
      <c r="B69" s="35" t="str">
        <f t="array" ref="B69">INDEX('ELI Data File'!I:I, MATCH(A69, 'ELI Data File'!A:A, 0))</f>
        <v>Foundations</v>
      </c>
      <c r="C69" s="35" t="str">
        <f t="array" ref="C69">INDEX('ELI Data File'!J:J, MATCH(A69, 'ELI Data File'!A:A, 0))</f>
        <v>Navigation and Component Library</v>
      </c>
      <c r="D69" s="36" t="str">
        <f t="array" ref="D69">INDEX('ELI Data File'!M:M, MATCH(A69, 'ELI Data File'!A:A, 0))</f>
        <v>Set up route configuration and page access logic</v>
      </c>
      <c r="E69" s="37" t="str">
        <f t="array" ref="E69">INDEX('ELI Data File'!H:H, MATCH(A69, 'ELI Data File'!A:A, 0))</f>
        <v>N/A</v>
      </c>
      <c r="F69" s="35" t="str">
        <f>IFERROR(__xludf.DUMMYFUNCTION("AI(""Extract the Goal from the description""&amp;D69)"),"Set up route configuration and page access logic")</f>
        <v>Set up route configuration and page access logic</v>
      </c>
      <c r="G69" s="35" t="str">
        <f>IFERROR(__xludf.DUMMYFUNCTION("AI(""Extract the Value from the description""&amp;D69)"),"application can function correctly and securely")</f>
        <v>application can function correctly and securely</v>
      </c>
      <c r="H69" s="38" t="str">
        <f t="array" ref="H69">INDEX('ELI Data File'!D:D, MATCH(A69, 'ELI Data File'!A:A, 0))</f>
        <v>PH-01</v>
      </c>
      <c r="I69" s="36"/>
      <c r="J69" s="39" t="str">
        <f t="array" ref="J69">INDEX('ELI Data File'!O:O, MATCH(A69, 'ELI Data File'!A:A, 0))</f>
        <v>Medium</v>
      </c>
      <c r="K69" s="40">
        <f t="array" ref="K69">INDEX('ELI Data File'!P:P, MATCH(A69, 'ELI Data File'!A:A, 0))*4</f>
        <v>20</v>
      </c>
      <c r="L69" s="40">
        <f t="shared" si="1"/>
        <v>4</v>
      </c>
      <c r="M69" s="40">
        <f t="shared" si="3"/>
        <v>8</v>
      </c>
      <c r="N69" s="40">
        <f t="shared" si="2"/>
        <v>32</v>
      </c>
      <c r="O69" s="25"/>
      <c r="P69" s="26"/>
      <c r="Q69" s="26"/>
      <c r="R69" s="26"/>
      <c r="S69" s="26"/>
      <c r="T69" s="26"/>
    </row>
    <row r="70">
      <c r="A70" s="27" t="s">
        <v>309</v>
      </c>
      <c r="B70" s="28" t="str">
        <f t="array" ref="B70">INDEX('ELI Data File'!I:I, MATCH(A70, 'ELI Data File'!A:A, 0))</f>
        <v>Foundations</v>
      </c>
      <c r="C70" s="28" t="str">
        <f t="array" ref="C70">INDEX('ELI Data File'!J:J, MATCH(A70, 'ELI Data File'!A:A, 0))</f>
        <v>User Management</v>
      </c>
      <c r="D70" s="29" t="str">
        <f t="array" ref="D70">INDEX('ELI Data File'!M:M, MATCH(A70, 'ELI Data File'!A:A, 0))</f>
        <v>Define core fields like name, email, auth method, and settings.</v>
      </c>
      <c r="E70" s="30" t="str">
        <f t="array" ref="E70">INDEX('ELI Data File'!H:H, MATCH(A70, 'ELI Data File'!A:A, 0))</f>
        <v>N/A</v>
      </c>
      <c r="F70" s="28" t="str">
        <f>IFERROR(__xludf.DUMMYFUNCTION("AI(""Extract the Goal from the description""&amp;D70)"),"Define core fields like name, email, auth method, and settings.")</f>
        <v>Define core fields like name, email, auth method, and settings.</v>
      </c>
      <c r="G70" s="28" t="str">
        <f>IFERROR(__xludf.DUMMYFUNCTION("AI(""Extract the Value from the description""&amp;D70)"),"The description itself is the goal (to define core fields). There is no explicit ""so I can"" value statement in the description provided. If this is a technical task, the value is inherent in setting up the foundational data structure for users.")</f>
        <v>The description itself is the goal (to define core fields). There is no explicit "so I can" value statement in the description provided. If this is a technical task, the value is inherent in setting up the foundational data structure for users.</v>
      </c>
      <c r="H70" s="31" t="str">
        <f t="array" ref="H70">INDEX('ELI Data File'!D:D, MATCH(A70, 'ELI Data File'!A:A, 0))</f>
        <v>PH-01</v>
      </c>
      <c r="I70" s="29"/>
      <c r="J70" s="32" t="str">
        <f t="array" ref="J70">INDEX('ELI Data File'!O:O, MATCH(A70, 'ELI Data File'!A:A, 0))</f>
        <v>Medium</v>
      </c>
      <c r="K70" s="33">
        <f t="array" ref="K70">INDEX('ELI Data File'!P:P, MATCH(A70, 'ELI Data File'!A:A, 0))*4</f>
        <v>20</v>
      </c>
      <c r="L70" s="33">
        <f t="shared" si="1"/>
        <v>4</v>
      </c>
      <c r="M70" s="33">
        <f t="shared" si="3"/>
        <v>8</v>
      </c>
      <c r="N70" s="33">
        <f t="shared" si="2"/>
        <v>32</v>
      </c>
      <c r="O70" s="25"/>
      <c r="P70" s="26"/>
      <c r="Q70" s="26"/>
      <c r="R70" s="26"/>
      <c r="S70" s="26"/>
      <c r="T70" s="26"/>
    </row>
    <row r="71">
      <c r="A71" s="34" t="s">
        <v>310</v>
      </c>
      <c r="B71" s="35" t="str">
        <f t="array" ref="B71">INDEX('ELI Data File'!I:I, MATCH(A71, 'ELI Data File'!A:A, 0))</f>
        <v>Foundations</v>
      </c>
      <c r="C71" s="35" t="str">
        <f t="array" ref="C71">INDEX('ELI Data File'!J:J, MATCH(A71, 'ELI Data File'!A:A, 0))</f>
        <v>User Management</v>
      </c>
      <c r="D71" s="36" t="str">
        <f t="array" ref="D71">INDEX('ELI Data File'!M:M, MATCH(A71, 'ELI Data File'!A:A, 0))</f>
        <v>Allow users to update their information, timezone, and avatar.</v>
      </c>
      <c r="E71" s="37" t="str">
        <f t="array" ref="E71">INDEX('ELI Data File'!H:H, MATCH(A71, 'ELI Data File'!A:A, 0))</f>
        <v>N/A</v>
      </c>
      <c r="F71" s="35" t="str">
        <f>IFERROR(__xludf.DUMMYFUNCTION("AI(""Extract the Goal from the description""&amp;D71)"),"Allow users to update their information, timezone, and avatar.")</f>
        <v>Allow users to update their information, timezone, and avatar.</v>
      </c>
      <c r="G71" s="35" t="str">
        <f>IFERROR(__xludf.DUMMYFUNCTION("AI(""Extract the Value from the description""&amp;D71)"),"Extracting the ""so I can"" value from the phrase ""Allow users to update their information, timezone, and avatar"" does not produce a meaningful benefit as it stands alone and is not a complete user story following the ""As a... I want... so I can..."" f"&amp;"ormat. I will assume the intended request is to extract the goal, which is the action the user wants to perform.
users update their information, timezone, and avatar")</f>
        <v>Extracting the "so I can" value from the phrase "Allow users to update their information, timezone, and avatar" does not produce a meaningful benefit as it stands alone and is not a complete user story following the "As a... I want... so I can..." format. I will assume the intended request is to extract the goal, which is the action the user wants to perform.
users update their information, timezone, and avatar</v>
      </c>
      <c r="H71" s="38" t="str">
        <f t="array" ref="H71">INDEX('ELI Data File'!D:D, MATCH(A71, 'ELI Data File'!A:A, 0))</f>
        <v>PH-01</v>
      </c>
      <c r="I71" s="36"/>
      <c r="J71" s="39" t="str">
        <f t="array" ref="J71">INDEX('ELI Data File'!O:O, MATCH(A71, 'ELI Data File'!A:A, 0))</f>
        <v>Low</v>
      </c>
      <c r="K71" s="40">
        <f t="array" ref="K71">INDEX('ELI Data File'!P:P, MATCH(A71, 'ELI Data File'!A:A, 0))*4</f>
        <v>12</v>
      </c>
      <c r="L71" s="40">
        <f t="shared" si="1"/>
        <v>3</v>
      </c>
      <c r="M71" s="40">
        <f t="shared" si="3"/>
        <v>5</v>
      </c>
      <c r="N71" s="40">
        <f t="shared" si="2"/>
        <v>20</v>
      </c>
      <c r="O71" s="25"/>
      <c r="P71" s="26"/>
      <c r="Q71" s="26"/>
      <c r="R71" s="26"/>
      <c r="S71" s="26"/>
      <c r="T71" s="26"/>
    </row>
    <row r="72">
      <c r="A72" s="27" t="s">
        <v>311</v>
      </c>
      <c r="B72" s="28" t="str">
        <f t="array" ref="B72">INDEX('ELI Data File'!I:I, MATCH(A72, 'ELI Data File'!A:A, 0))</f>
        <v>Foundations</v>
      </c>
      <c r="C72" s="28" t="str">
        <f t="array" ref="C72">INDEX('ELI Data File'!J:J, MATCH(A72, 'ELI Data File'!A:A, 0))</f>
        <v>User Management</v>
      </c>
      <c r="D72" s="29" t="str">
        <f t="array" ref="D72">INDEX('ELI Data File'!M:M, MATCH(A72, 'ELI Data File'!A:A, 0))</f>
        <v>Log login history, session duration, and access activity.</v>
      </c>
      <c r="E72" s="30" t="str">
        <f t="array" ref="E72">INDEX('ELI Data File'!H:H, MATCH(A72, 'ELI Data File'!A:A, 0))</f>
        <v>N/A</v>
      </c>
      <c r="F72" s="28" t="str">
        <f>IFERROR(__xludf.DUMMYFUNCTION("AI(""Extract the Goal from the description""&amp;D72)"),"Log login history, session duration, and access activity.")</f>
        <v>Log login history, session duration, and access activity.</v>
      </c>
      <c r="G72" s="28" t="str">
        <f>IFERROR(__xludf.DUMMYFUNCTION("AI(""Extract the Value from the description""&amp;D72)"),"No explicit value is stated in the provided text, as it describes the action itself.")</f>
        <v>No explicit value is stated in the provided text, as it describes the action itself.</v>
      </c>
      <c r="H72" s="31" t="str">
        <f t="array" ref="H72">INDEX('ELI Data File'!D:D, MATCH(A72, 'ELI Data File'!A:A, 0))</f>
        <v>PH-01</v>
      </c>
      <c r="I72" s="29"/>
      <c r="J72" s="32" t="str">
        <f t="array" ref="J72">INDEX('ELI Data File'!O:O, MATCH(A72, 'ELI Data File'!A:A, 0))</f>
        <v>Medium</v>
      </c>
      <c r="K72" s="33">
        <f t="array" ref="K72">INDEX('ELI Data File'!P:P, MATCH(A72, 'ELI Data File'!A:A, 0))*4</f>
        <v>20</v>
      </c>
      <c r="L72" s="33">
        <f t="shared" si="1"/>
        <v>4</v>
      </c>
      <c r="M72" s="33">
        <f t="shared" si="3"/>
        <v>8</v>
      </c>
      <c r="N72" s="33">
        <f t="shared" si="2"/>
        <v>32</v>
      </c>
      <c r="O72" s="25"/>
      <c r="P72" s="26"/>
      <c r="Q72" s="26"/>
      <c r="R72" s="26"/>
      <c r="S72" s="26"/>
      <c r="T72" s="26"/>
    </row>
    <row r="73">
      <c r="A73" s="34" t="s">
        <v>312</v>
      </c>
      <c r="B73" s="35" t="str">
        <f t="array" ref="B73">INDEX('ELI Data File'!I:I, MATCH(A73, 'ELI Data File'!A:A, 0))</f>
        <v>Foundations</v>
      </c>
      <c r="C73" s="35" t="str">
        <f t="array" ref="C73">INDEX('ELI Data File'!J:J, MATCH(A73, 'ELI Data File'!A:A, 0))</f>
        <v>Authentication &amp; Security</v>
      </c>
      <c r="D73" s="36" t="str">
        <f t="array" ref="D73">INDEX('ELI Data File'!M:M, MATCH(A73, 'ELI Data File'!A:A, 0))</f>
        <v>Integrate platforms like Auth0, Clerk, or Firebase Auth.</v>
      </c>
      <c r="E73" s="37" t="str">
        <f t="array" ref="E73">INDEX('ELI Data File'!H:H, MATCH(A73, 'ELI Data File'!A:A, 0))</f>
        <v>N/A</v>
      </c>
      <c r="F73" s="35" t="str">
        <f>IFERROR(__xludf.DUMMYFUNCTION("AI(""Extract the Goal from the description""&amp;D73)"),"Integrate platforms like Auth0, Clerk, or Firebase Auth.")</f>
        <v>Integrate platforms like Auth0, Clerk, or Firebase Auth.</v>
      </c>
      <c r="G73" s="35" t="str">
        <f>IFERROR(__xludf.DUMMYFUNCTION("AI(""Extract the Value from the description""&amp;D73)"),"Ensure a secure and robust authentication system.")</f>
        <v>Ensure a secure and robust authentication system.</v>
      </c>
      <c r="H73" s="38" t="str">
        <f t="array" ref="H73">INDEX('ELI Data File'!D:D, MATCH(A73, 'ELI Data File'!A:A, 0))</f>
        <v>PH-01</v>
      </c>
      <c r="I73" s="36"/>
      <c r="J73" s="39" t="str">
        <f t="array" ref="J73">INDEX('ELI Data File'!O:O, MATCH(A73, 'ELI Data File'!A:A, 0))</f>
        <v>Medium</v>
      </c>
      <c r="K73" s="40">
        <f t="array" ref="K73">INDEX('ELI Data File'!P:P, MATCH(A73, 'ELI Data File'!A:A, 0))*4</f>
        <v>20</v>
      </c>
      <c r="L73" s="40">
        <f t="shared" si="1"/>
        <v>4</v>
      </c>
      <c r="M73" s="40">
        <f t="shared" si="3"/>
        <v>8</v>
      </c>
      <c r="N73" s="40">
        <f t="shared" si="2"/>
        <v>32</v>
      </c>
      <c r="O73" s="25"/>
      <c r="P73" s="26"/>
      <c r="Q73" s="26"/>
      <c r="R73" s="26"/>
      <c r="S73" s="26"/>
      <c r="T73" s="26"/>
    </row>
    <row r="74">
      <c r="A74" s="27" t="s">
        <v>313</v>
      </c>
      <c r="B74" s="28" t="str">
        <f t="array" ref="B74">INDEX('ELI Data File'!I:I, MATCH(A74, 'ELI Data File'!A:A, 0))</f>
        <v>Foundations</v>
      </c>
      <c r="C74" s="28" t="str">
        <f t="array" ref="C74">INDEX('ELI Data File'!J:J, MATCH(A74, 'ELI Data File'!A:A, 0))</f>
        <v>Authentication &amp; Security</v>
      </c>
      <c r="D74" s="29" t="str">
        <f t="array" ref="D74">INDEX('ELI Data File'!M:M, MATCH(A74, 'ELI Data File'!A:A, 0))</f>
        <v>Use JWTs or sessions to authorize requests on protected endpoints.</v>
      </c>
      <c r="E74" s="30" t="str">
        <f t="array" ref="E74">INDEX('ELI Data File'!H:H, MATCH(A74, 'ELI Data File'!A:A, 0))</f>
        <v>N/A</v>
      </c>
      <c r="F74" s="28" t="str">
        <f>IFERROR(__xludf.DUMMYFUNCTION("AI(""Extract the Goal from the description""&amp;D74)"),"authorize requests on protected endpoints")</f>
        <v>authorize requests on protected endpoints</v>
      </c>
      <c r="G74" s="28" t="str">
        <f>IFERROR(__xludf.DUMMYFUNCTION("AI(""Extract the Value from the description""&amp;D74)"),"authorize requests on protected endpoints")</f>
        <v>authorize requests on protected endpoints</v>
      </c>
      <c r="H74" s="31" t="str">
        <f t="array" ref="H74">INDEX('ELI Data File'!D:D, MATCH(A74, 'ELI Data File'!A:A, 0))</f>
        <v>PH-01</v>
      </c>
      <c r="I74" s="29"/>
      <c r="J74" s="32" t="str">
        <f t="array" ref="J74">INDEX('ELI Data File'!O:O, MATCH(A74, 'ELI Data File'!A:A, 0))</f>
        <v>High</v>
      </c>
      <c r="K74" s="33">
        <f t="array" ref="K74">INDEX('ELI Data File'!P:P, MATCH(A74, 'ELI Data File'!A:A, 0))*4</f>
        <v>32</v>
      </c>
      <c r="L74" s="33">
        <f t="shared" si="1"/>
        <v>7</v>
      </c>
      <c r="M74" s="33">
        <f t="shared" si="3"/>
        <v>13</v>
      </c>
      <c r="N74" s="33">
        <f t="shared" si="2"/>
        <v>52</v>
      </c>
      <c r="O74" s="25"/>
      <c r="P74" s="26"/>
      <c r="Q74" s="26"/>
      <c r="R74" s="26"/>
      <c r="S74" s="26"/>
      <c r="T74" s="26"/>
    </row>
    <row r="75">
      <c r="A75" s="34" t="s">
        <v>314</v>
      </c>
      <c r="B75" s="35" t="str">
        <f t="array" ref="B75">INDEX('ELI Data File'!I:I, MATCH(A75, 'ELI Data File'!A:A, 0))</f>
        <v>Foundations</v>
      </c>
      <c r="C75" s="35" t="str">
        <f t="array" ref="C75">INDEX('ELI Data File'!J:J, MATCH(A75, 'ELI Data File'!A:A, 0))</f>
        <v>Authentication &amp; Security</v>
      </c>
      <c r="D75" s="36" t="str">
        <f t="array" ref="D75">INDEX('ELI Data File'!M:M, MATCH(A75, 'ELI Data File'!A:A, 0))</f>
        <v>Encrypt sensitive data both in transit (HTTPS) and at rest (AES).</v>
      </c>
      <c r="E75" s="37" t="str">
        <f t="array" ref="E75">INDEX('ELI Data File'!H:H, MATCH(A75, 'ELI Data File'!A:A, 0))</f>
        <v>N/A</v>
      </c>
      <c r="F75" s="35" t="str">
        <f>IFERROR(__xludf.DUMMYFUNCTION("AI(""Extract the Goal from the description""&amp;D75)"),"Encrypt sensitive data both in transit (HTTPS) and at rest (AES).")</f>
        <v>Encrypt sensitive data both in transit (HTTPS) and at rest (AES).</v>
      </c>
      <c r="G75" s="35" t="str">
        <f>IFERROR(__xludf.DUMMYFUNCTION("AI(""Extract the Value from the description""&amp;D75)"),"To protect sensitive data and ensure security.")</f>
        <v>To protect sensitive data and ensure security.</v>
      </c>
      <c r="H75" s="38" t="str">
        <f t="array" ref="H75">INDEX('ELI Data File'!D:D, MATCH(A75, 'ELI Data File'!A:A, 0))</f>
        <v>PH-01</v>
      </c>
      <c r="I75" s="36"/>
      <c r="J75" s="39" t="str">
        <f t="array" ref="J75">INDEX('ELI Data File'!O:O, MATCH(A75, 'ELI Data File'!A:A, 0))</f>
        <v>High</v>
      </c>
      <c r="K75" s="40">
        <f t="array" ref="K75">INDEX('ELI Data File'!P:P, MATCH(A75, 'ELI Data File'!A:A, 0))*4</f>
        <v>32</v>
      </c>
      <c r="L75" s="40">
        <f t="shared" si="1"/>
        <v>7</v>
      </c>
      <c r="M75" s="40">
        <f t="shared" si="3"/>
        <v>13</v>
      </c>
      <c r="N75" s="40">
        <f t="shared" si="2"/>
        <v>52</v>
      </c>
      <c r="O75" s="25"/>
      <c r="P75" s="26"/>
      <c r="Q75" s="26"/>
      <c r="R75" s="26"/>
      <c r="S75" s="26"/>
      <c r="T75" s="26"/>
    </row>
    <row r="76">
      <c r="A76" s="27" t="s">
        <v>315</v>
      </c>
      <c r="B76" s="28" t="str">
        <f t="array" ref="B76">INDEX('ELI Data File'!I:I, MATCH(A76, 'ELI Data File'!A:A, 0))</f>
        <v>Foundations</v>
      </c>
      <c r="C76" s="28" t="str">
        <f t="array" ref="C76">INDEX('ELI Data File'!J:J, MATCH(A76, 'ELI Data File'!A:A, 0))</f>
        <v>Data Management</v>
      </c>
      <c r="D76" s="29" t="str">
        <f t="array" ref="D76">INDEX('ELI Data File'!M:M, MATCH(A76, 'ELI Data File'!A:A, 0))</f>
        <v>Model core data object of the system</v>
      </c>
      <c r="E76" s="30" t="str">
        <f t="array" ref="E76">INDEX('ELI Data File'!H:H, MATCH(A76, 'ELI Data File'!A:A, 0))</f>
        <v>N/A</v>
      </c>
      <c r="F76" s="28" t="str">
        <f>IFERROR(__xludf.DUMMYFUNCTION("AI(""Extract the Goal from the description""&amp;D76)"),"Model core data object of the system")</f>
        <v>Model core data object of the system</v>
      </c>
      <c r="G76" s="28" t="str">
        <f>IFERROR(__xludf.DUMMYFUNCTION("AI(""Extract the Value from the description""&amp;D76)"),"Model core data object of the system")</f>
        <v>Model core data object of the system</v>
      </c>
      <c r="H76" s="31" t="str">
        <f t="array" ref="H76">INDEX('ELI Data File'!D:D, MATCH(A76, 'ELI Data File'!A:A, 0))</f>
        <v>PH-01</v>
      </c>
      <c r="I76" s="29"/>
      <c r="J76" s="32" t="str">
        <f t="array" ref="J76">INDEX('ELI Data File'!O:O, MATCH(A76, 'ELI Data File'!A:A, 0))</f>
        <v>High</v>
      </c>
      <c r="K76" s="33">
        <f t="array" ref="K76">INDEX('ELI Data File'!P:P, MATCH(A76, 'ELI Data File'!A:A, 0))*4</f>
        <v>32</v>
      </c>
      <c r="L76" s="33">
        <f t="shared" si="1"/>
        <v>7</v>
      </c>
      <c r="M76" s="33">
        <f t="shared" si="3"/>
        <v>13</v>
      </c>
      <c r="N76" s="33">
        <f t="shared" si="2"/>
        <v>52</v>
      </c>
      <c r="O76" s="25"/>
      <c r="P76" s="26"/>
      <c r="Q76" s="26"/>
      <c r="R76" s="26"/>
      <c r="S76" s="26"/>
      <c r="T76" s="26"/>
    </row>
    <row r="77">
      <c r="A77" s="34" t="s">
        <v>316</v>
      </c>
      <c r="B77" s="35" t="str">
        <f t="array" ref="B77">INDEX('ELI Data File'!I:I, MATCH(A77, 'ELI Data File'!A:A, 0))</f>
        <v>Foundations</v>
      </c>
      <c r="C77" s="35" t="str">
        <f t="array" ref="C77">INDEX('ELI Data File'!J:J, MATCH(A77, 'ELI Data File'!A:A, 0))</f>
        <v>Data Management</v>
      </c>
      <c r="D77" s="36" t="str">
        <f t="array" ref="D77">INDEX('ELI Data File'!M:M, MATCH(A77, 'ELI Data File'!A:A, 0))</f>
        <v>Expose backend endpoints for accessing and modifying</v>
      </c>
      <c r="E77" s="37" t="str">
        <f t="array" ref="E77">INDEX('ELI Data File'!H:H, MATCH(A77, 'ELI Data File'!A:A, 0))</f>
        <v>N/A</v>
      </c>
      <c r="F77" s="35" t="str">
        <f>IFERROR(__xludf.DUMMYFUNCTION("AI(""Extract the Goal from the description""&amp;D77)"),"expose backend endpoints for accessing and modifying")</f>
        <v>expose backend endpoints for accessing and modifying</v>
      </c>
      <c r="G77" s="35" t="str">
        <f>IFERROR(__xludf.DUMMYFUNCTION("AI(""Extract the Value from the description""&amp;D77)"),"for accessing and modifying")</f>
        <v>for accessing and modifying</v>
      </c>
      <c r="H77" s="38" t="str">
        <f t="array" ref="H77">INDEX('ELI Data File'!D:D, MATCH(A77, 'ELI Data File'!A:A, 0))</f>
        <v>PH-01</v>
      </c>
      <c r="I77" s="36"/>
      <c r="J77" s="39" t="str">
        <f t="array" ref="J77">INDEX('ELI Data File'!O:O, MATCH(A77, 'ELI Data File'!A:A, 0))</f>
        <v>Medium</v>
      </c>
      <c r="K77" s="40">
        <f t="array" ref="K77">INDEX('ELI Data File'!P:P, MATCH(A77, 'ELI Data File'!A:A, 0))*4</f>
        <v>20</v>
      </c>
      <c r="L77" s="40">
        <f t="shared" si="1"/>
        <v>4</v>
      </c>
      <c r="M77" s="40">
        <f t="shared" si="3"/>
        <v>8</v>
      </c>
      <c r="N77" s="40">
        <f t="shared" si="2"/>
        <v>32</v>
      </c>
      <c r="O77" s="25"/>
      <c r="P77" s="26"/>
      <c r="Q77" s="26"/>
      <c r="R77" s="26"/>
      <c r="S77" s="26"/>
      <c r="T77" s="26"/>
    </row>
    <row r="78">
      <c r="A78" s="27" t="s">
        <v>317</v>
      </c>
      <c r="B78" s="28" t="str">
        <f t="array" ref="B78">INDEX('ELI Data File'!I:I, MATCH(A78, 'ELI Data File'!A:A, 0))</f>
        <v>Foundations</v>
      </c>
      <c r="C78" s="28" t="str">
        <f t="array" ref="C78">INDEX('ELI Data File'!J:J, MATCH(A78, 'ELI Data File'!A:A, 0))</f>
        <v>Data Management</v>
      </c>
      <c r="D78" s="29" t="str">
        <f t="array" ref="D78">INDEX('ELI Data File'!M:M, MATCH(A78, 'ELI Data File'!A:A, 0))</f>
        <v>Capture a change log for critical actions like edits, deletions, or merges.</v>
      </c>
      <c r="E78" s="30" t="str">
        <f t="array" ref="E78">INDEX('ELI Data File'!H:H, MATCH(A78, 'ELI Data File'!A:A, 0))</f>
        <v>N/A</v>
      </c>
      <c r="F78" s="28" t="str">
        <f>IFERROR(__xludf.DUMMYFUNCTION("AI(""Extract the Goal from the description""&amp;D78)"),"Capture a change log for critical actions like edits, deletions, or merges.")</f>
        <v>Capture a change log for critical actions like edits, deletions, or merges.</v>
      </c>
      <c r="G78" s="28" t="str">
        <f>IFERROR(__xludf.DUMMYFUNCTION("AI(""Extract the Value from the description""&amp;D78)"),"This description appears to be missing the ""as the"" and ""so I can"" structure. Based on the provided description, ""Capture a change log for critical actions like edits, deletions, or merges."", the value is implied to be for auditing or data integrity"&amp;".
I am unable to accurately extract the value when the user story format is not present in the description.")</f>
        <v>This description appears to be missing the "as the" and "so I can" structure. Based on the provided description, "Capture a change log for critical actions like edits, deletions, or merges.", the value is implied to be for auditing or data integrity.
I am unable to accurately extract the value when the user story format is not present in the description.</v>
      </c>
      <c r="H78" s="31" t="str">
        <f t="array" ref="H78">INDEX('ELI Data File'!D:D, MATCH(A78, 'ELI Data File'!A:A, 0))</f>
        <v>PH-01</v>
      </c>
      <c r="I78" s="29"/>
      <c r="J78" s="32" t="str">
        <f t="array" ref="J78">INDEX('ELI Data File'!O:O, MATCH(A78, 'ELI Data File'!A:A, 0))</f>
        <v>High</v>
      </c>
      <c r="K78" s="33">
        <f t="array" ref="K78">INDEX('ELI Data File'!P:P, MATCH(A78, 'ELI Data File'!A:A, 0))*4</f>
        <v>32</v>
      </c>
      <c r="L78" s="33">
        <f t="shared" si="1"/>
        <v>7</v>
      </c>
      <c r="M78" s="33">
        <f t="shared" si="3"/>
        <v>13</v>
      </c>
      <c r="N78" s="33">
        <f t="shared" si="2"/>
        <v>52</v>
      </c>
      <c r="O78" s="25"/>
      <c r="P78" s="26"/>
      <c r="Q78" s="26"/>
      <c r="R78" s="26"/>
      <c r="S78" s="26"/>
      <c r="T78" s="26"/>
    </row>
    <row r="79">
      <c r="A79" s="34" t="s">
        <v>318</v>
      </c>
      <c r="B79" s="35" t="str">
        <f t="array" ref="B79">INDEX('ELI Data File'!I:I, MATCH(A79, 'ELI Data File'!A:A, 0))</f>
        <v>Foundations</v>
      </c>
      <c r="C79" s="35" t="str">
        <f t="array" ref="C79">INDEX('ELI Data File'!J:J, MATCH(A79, 'ELI Data File'!A:A, 0))</f>
        <v>Backend Infrastructure</v>
      </c>
      <c r="D79" s="36" t="str">
        <f t="array" ref="D79">INDEX('ELI Data File'!M:M, MATCH(A79, 'ELI Data File'!A:A, 0))</f>
        <v>Centralize request routing, versioning, throttling, and request/response transformations for REST/GraphQL.</v>
      </c>
      <c r="E79" s="37" t="str">
        <f t="array" ref="E79">INDEX('ELI Data File'!H:H, MATCH(A79, 'ELI Data File'!A:A, 0))</f>
        <v>N/A</v>
      </c>
      <c r="F79" s="35" t="str">
        <f>IFERROR(__xludf.DUMMYFUNCTION("AI(""Extract the Goal from the description""&amp;D79)"),"Centralize request routing, versioning, throttling, and request/response transformations for REST/GraphQL")</f>
        <v>Centralize request routing, versioning, throttling, and request/response transformations for REST/GraphQL</v>
      </c>
      <c r="G79" s="35" t="str">
        <f>IFERROR(__xludf.DUMMYFUNCTION("AI(""Extract the Value from the description""&amp;D79)"),"efficiently manage and scale API traffic")</f>
        <v>efficiently manage and scale API traffic</v>
      </c>
      <c r="H79" s="38" t="str">
        <f t="array" ref="H79">INDEX('ELI Data File'!D:D, MATCH(A79, 'ELI Data File'!A:A, 0))</f>
        <v>PH-01</v>
      </c>
      <c r="I79" s="36"/>
      <c r="J79" s="39" t="str">
        <f t="array" ref="J79">INDEX('ELI Data File'!O:O, MATCH(A79, 'ELI Data File'!A:A, 0))</f>
        <v>Medium</v>
      </c>
      <c r="K79" s="40">
        <f t="array" ref="K79">INDEX('ELI Data File'!P:P, MATCH(A79, 'ELI Data File'!A:A, 0))*4</f>
        <v>20</v>
      </c>
      <c r="L79" s="40">
        <f t="shared" si="1"/>
        <v>4</v>
      </c>
      <c r="M79" s="40">
        <f t="shared" si="3"/>
        <v>8</v>
      </c>
      <c r="N79" s="40">
        <f t="shared" si="2"/>
        <v>32</v>
      </c>
      <c r="O79" s="25"/>
      <c r="P79" s="26"/>
      <c r="Q79" s="26"/>
      <c r="R79" s="26"/>
      <c r="S79" s="26"/>
      <c r="T79" s="26"/>
    </row>
    <row r="80">
      <c r="A80" s="27" t="s">
        <v>319</v>
      </c>
      <c r="B80" s="28" t="str">
        <f t="array" ref="B80">INDEX('ELI Data File'!I:I, MATCH(A80, 'ELI Data File'!A:A, 0))</f>
        <v>Foundations</v>
      </c>
      <c r="C80" s="28" t="str">
        <f t="array" ref="C80">INDEX('ELI Data File'!J:J, MATCH(A80, 'ELI Data File'!A:A, 0))</f>
        <v>Backend Infrastructure</v>
      </c>
      <c r="D80" s="29" t="str">
        <f t="array" ref="D80">INDEX('ELI Data File'!M:M, MATCH(A80, 'ELI Data File'!A:A, 0))</f>
        <v>Support async jobs, scheduled work, and event-driven workflows (e.g., retries, dead-letter queues).</v>
      </c>
      <c r="E80" s="30" t="str">
        <f t="array" ref="E80">INDEX('ELI Data File'!H:H, MATCH(A80, 'ELI Data File'!A:A, 0))</f>
        <v>N/A</v>
      </c>
      <c r="F80" s="28" t="str">
        <f>IFERROR(__xludf.DUMMYFUNCTION("AI(""Extract the Goal from the description""&amp;D80)"),"Support async jobs, scheduled work, and event-driven workflows (e.g., retries, dead-letter queues).")</f>
        <v>Support async jobs, scheduled work, and event-driven workflows (e.g., retries, dead-letter queues).</v>
      </c>
      <c r="G80" s="28" t="str">
        <f>IFERROR(__xludf.DUMMYFUNCTION("AI(""Extract the Value from the description""&amp;D80)"),"e.g., retries, dead-letter queues.")</f>
        <v>e.g., retries, dead-letter queues.</v>
      </c>
      <c r="H80" s="31" t="str">
        <f t="array" ref="H80">INDEX('ELI Data File'!D:D, MATCH(A80, 'ELI Data File'!A:A, 0))</f>
        <v>PH-01</v>
      </c>
      <c r="I80" s="29"/>
      <c r="J80" s="32" t="str">
        <f t="array" ref="J80">INDEX('ELI Data File'!O:O, MATCH(A80, 'ELI Data File'!A:A, 0))</f>
        <v>High</v>
      </c>
      <c r="K80" s="33">
        <f t="array" ref="K80">INDEX('ELI Data File'!P:P, MATCH(A80, 'ELI Data File'!A:A, 0))*4</f>
        <v>32</v>
      </c>
      <c r="L80" s="33">
        <f t="shared" si="1"/>
        <v>7</v>
      </c>
      <c r="M80" s="33">
        <f t="shared" si="3"/>
        <v>13</v>
      </c>
      <c r="N80" s="33">
        <f t="shared" si="2"/>
        <v>52</v>
      </c>
      <c r="O80" s="25"/>
      <c r="P80" s="26"/>
      <c r="Q80" s="26"/>
      <c r="R80" s="26"/>
      <c r="S80" s="26"/>
      <c r="T80" s="26"/>
    </row>
    <row r="81">
      <c r="A81" s="34" t="s">
        <v>320</v>
      </c>
      <c r="B81" s="35" t="str">
        <f t="array" ref="B81">INDEX('ELI Data File'!I:I, MATCH(A81, 'ELI Data File'!A:A, 0))</f>
        <v>Foundations</v>
      </c>
      <c r="C81" s="35" t="str">
        <f t="array" ref="C81">INDEX('ELI Data File'!J:J, MATCH(A81, 'ELI Data File'!A:A, 0))</f>
        <v>Backend Infrastructure</v>
      </c>
      <c r="D81" s="36" t="str">
        <f t="array" ref="D81">INDEX('ELI Data File'!M:M, MATCH(A81, 'ELI Data File'!A:A, 0))</f>
        <v>Collect logs, metrics, and traces with correlation IDs and alerting thresholds.</v>
      </c>
      <c r="E81" s="37" t="str">
        <f t="array" ref="E81">INDEX('ELI Data File'!H:H, MATCH(A81, 'ELI Data File'!A:A, 0))</f>
        <v>N/A</v>
      </c>
      <c r="F81" s="35" t="str">
        <f>IFERROR(__xludf.DUMMYFUNCTION("AI(""Extract the Goal from the description""&amp;D81)"),"collect logs, metrics, and traces with correlation IDs and alerting thresholds")</f>
        <v>collect logs, metrics, and traces with correlation IDs and alerting thresholds</v>
      </c>
      <c r="G81" s="35" t="str">
        <f>IFERROR(__xludf.DUMMYFUNCTION("AI(""Extract the Value from the description""&amp;D81)"),"with correlation IDs and alerting thresholds.")</f>
        <v>with correlation IDs and alerting thresholds.</v>
      </c>
      <c r="H81" s="38" t="str">
        <f t="array" ref="H81">INDEX('ELI Data File'!D:D, MATCH(A81, 'ELI Data File'!A:A, 0))</f>
        <v>PH-01</v>
      </c>
      <c r="I81" s="36"/>
      <c r="J81" s="39" t="str">
        <f t="array" ref="J81">INDEX('ELI Data File'!O:O, MATCH(A81, 'ELI Data File'!A:A, 0))</f>
        <v>Medium</v>
      </c>
      <c r="K81" s="40">
        <f t="array" ref="K81">INDEX('ELI Data File'!P:P, MATCH(A81, 'ELI Data File'!A:A, 0))*4</f>
        <v>20</v>
      </c>
      <c r="L81" s="40">
        <f t="shared" si="1"/>
        <v>4</v>
      </c>
      <c r="M81" s="40">
        <f t="shared" si="3"/>
        <v>8</v>
      </c>
      <c r="N81" s="40">
        <f t="shared" si="2"/>
        <v>32</v>
      </c>
      <c r="O81" s="25"/>
      <c r="P81" s="26"/>
      <c r="Q81" s="26"/>
      <c r="R81" s="26"/>
      <c r="S81" s="26"/>
      <c r="T81" s="26"/>
    </row>
    <row r="82">
      <c r="A82" s="27" t="s">
        <v>321</v>
      </c>
      <c r="B82" s="28" t="str">
        <f t="array" ref="B82">INDEX('ELI Data File'!I:I, MATCH(A82, 'ELI Data File'!A:A, 0))</f>
        <v>Foundations</v>
      </c>
      <c r="C82" s="28" t="str">
        <f t="array" ref="C82">INDEX('ELI Data File'!J:J, MATCH(A82, 'ELI Data File'!A:A, 0))</f>
        <v>DevOps</v>
      </c>
      <c r="D82" s="29" t="str">
        <f t="array" ref="D82">INDEX('ELI Data File'!M:M, MATCH(A82, 'ELI Data File'!A:A, 0))</f>
        <v>Use .env files and secrets management for tokens, keys, and DB strings.</v>
      </c>
      <c r="E82" s="30" t="str">
        <f t="array" ref="E82">INDEX('ELI Data File'!H:H, MATCH(A82, 'ELI Data File'!A:A, 0))</f>
        <v>N/A</v>
      </c>
      <c r="F82" s="28" t="str">
        <f>IFERROR(__xludf.DUMMYFUNCTION("AI(""Extract the Goal from the description""&amp;D82)"),"Use .env files and secrets management for tokens, keys, and DB strings.")</f>
        <v>Use .env files and secrets management for tokens, keys, and DB strings.</v>
      </c>
      <c r="G82" s="28" t="str">
        <f>IFERROR(__xludf.DUMMYFUNCTION("AI(""Extract the Value from the description""&amp;D82)"),"Ensure sensitive data is protected and deployment is secure.")</f>
        <v>Ensure sensitive data is protected and deployment is secure.</v>
      </c>
      <c r="H82" s="31" t="str">
        <f t="array" ref="H82">INDEX('ELI Data File'!D:D, MATCH(A82, 'ELI Data File'!A:A, 0))</f>
        <v>PH-01</v>
      </c>
      <c r="I82" s="29"/>
      <c r="J82" s="32" t="str">
        <f t="array" ref="J82">INDEX('ELI Data File'!O:O, MATCH(A82, 'ELI Data File'!A:A, 0))</f>
        <v>Medium</v>
      </c>
      <c r="K82" s="33">
        <f t="array" ref="K82">INDEX('ELI Data File'!P:P, MATCH(A82, 'ELI Data File'!A:A, 0))*4</f>
        <v>20</v>
      </c>
      <c r="L82" s="33">
        <f t="shared" si="1"/>
        <v>4</v>
      </c>
      <c r="M82" s="33">
        <f t="shared" si="3"/>
        <v>8</v>
      </c>
      <c r="N82" s="33">
        <f t="shared" si="2"/>
        <v>32</v>
      </c>
      <c r="O82" s="25"/>
      <c r="P82" s="26"/>
      <c r="Q82" s="26"/>
      <c r="R82" s="26"/>
      <c r="S82" s="26"/>
      <c r="T82" s="26"/>
    </row>
    <row r="83">
      <c r="A83" s="34" t="s">
        <v>322</v>
      </c>
      <c r="B83" s="35" t="str">
        <f t="array" ref="B83">INDEX('ELI Data File'!I:I, MATCH(A83, 'ELI Data File'!A:A, 0))</f>
        <v>Foundations</v>
      </c>
      <c r="C83" s="35" t="str">
        <f t="array" ref="C83">INDEX('ELI Data File'!J:J, MATCH(A83, 'ELI Data File'!A:A, 0))</f>
        <v>DevOps</v>
      </c>
      <c r="D83" s="36" t="str">
        <f t="array" ref="D83">INDEX('ELI Data File'!M:M, MATCH(A83, 'ELI Data File'!A:A, 0))</f>
        <v>Deploy with GitHub Actions, Vercel, or custom workflows for build/test/release.</v>
      </c>
      <c r="E83" s="37" t="str">
        <f t="array" ref="E83">INDEX('ELI Data File'!H:H, MATCH(A83, 'ELI Data File'!A:A, 0))</f>
        <v>N/A</v>
      </c>
      <c r="F83" s="35" t="str">
        <f>IFERROR(__xludf.DUMMYFUNCTION("AI(""Extract the Goal from the description""&amp;D83)"),"Deploy with GitHub Actions, Vercel, or custom workflows for build/test/release.")</f>
        <v>Deploy with GitHub Actions, Vercel, or custom workflows for build/test/release.</v>
      </c>
      <c r="G83" s="35" t="str">
        <f>IFERROR(__xludf.DUMMYFUNCTION("AI(""Extract the Value from the description""&amp;D83)"),"for build/test/release.")</f>
        <v>for build/test/release.</v>
      </c>
      <c r="H83" s="38" t="str">
        <f t="array" ref="H83">INDEX('ELI Data File'!D:D, MATCH(A83, 'ELI Data File'!A:A, 0))</f>
        <v>PH-01</v>
      </c>
      <c r="I83" s="36"/>
      <c r="J83" s="39" t="str">
        <f t="array" ref="J83">INDEX('ELI Data File'!O:O, MATCH(A83, 'ELI Data File'!A:A, 0))</f>
        <v>Medium</v>
      </c>
      <c r="K83" s="40">
        <f t="array" ref="K83">INDEX('ELI Data File'!P:P, MATCH(A83, 'ELI Data File'!A:A, 0))*4</f>
        <v>20</v>
      </c>
      <c r="L83" s="40">
        <f t="shared" si="1"/>
        <v>4</v>
      </c>
      <c r="M83" s="40">
        <f t="shared" si="3"/>
        <v>8</v>
      </c>
      <c r="N83" s="40">
        <f t="shared" si="2"/>
        <v>32</v>
      </c>
      <c r="O83" s="25"/>
      <c r="P83" s="26"/>
      <c r="Q83" s="26"/>
      <c r="R83" s="26"/>
      <c r="S83" s="26"/>
      <c r="T83" s="26"/>
    </row>
    <row r="84">
      <c r="A84" s="27" t="s">
        <v>323</v>
      </c>
      <c r="B84" s="28" t="str">
        <f t="array" ref="B84">INDEX('ELI Data File'!I:I, MATCH(A84, 'ELI Data File'!A:A, 0))</f>
        <v>Foundations</v>
      </c>
      <c r="C84" s="28" t="str">
        <f t="array" ref="C84">INDEX('ELI Data File'!J:J, MATCH(A84, 'ELI Data File'!A:A, 0))</f>
        <v>DevOps</v>
      </c>
      <c r="D84" s="29" t="str">
        <f t="array" ref="D84">INDEX('ELI Data File'!M:M, MATCH(A84, 'ELI Data File'!A:A, 0))</f>
        <v>Integrate unit, integration, and end-to-end test pipelines.</v>
      </c>
      <c r="E84" s="30" t="str">
        <f t="array" ref="E84">INDEX('ELI Data File'!H:H, MATCH(A84, 'ELI Data File'!A:A, 0))</f>
        <v>N/A</v>
      </c>
      <c r="F84" s="28" t="str">
        <f>IFERROR(__xludf.DUMMYFUNCTION("AI(""Extract the Goal from the description""&amp;D84)"),"Integrate unit, integration, and end-to-end test pipelines.")</f>
        <v>Integrate unit, integration, and end-to-end test pipelines.</v>
      </c>
      <c r="G84" s="28" t="str">
        <f>IFERROR(__xludf.DUMMYFUNCTION("AI(""Extract the Value from the description""&amp;D84)"),"The description ""Integrate unit, integration, and end-to-end test pipelines."" is a technical task and does not explicitly state the value/benefit.")</f>
        <v>The description "Integrate unit, integration, and end-to-end test pipelines." is a technical task and does not explicitly state the value/benefit.</v>
      </c>
      <c r="H84" s="31" t="str">
        <f t="array" ref="H84">INDEX('ELI Data File'!D:D, MATCH(A84, 'ELI Data File'!A:A, 0))</f>
        <v>PH-01</v>
      </c>
      <c r="I84" s="29"/>
      <c r="J84" s="32" t="str">
        <f t="array" ref="J84">INDEX('ELI Data File'!O:O, MATCH(A84, 'ELI Data File'!A:A, 0))</f>
        <v>Medium</v>
      </c>
      <c r="K84" s="33">
        <f t="array" ref="K84">INDEX('ELI Data File'!P:P, MATCH(A84, 'ELI Data File'!A:A, 0))*4</f>
        <v>20</v>
      </c>
      <c r="L84" s="33">
        <f t="shared" si="1"/>
        <v>4</v>
      </c>
      <c r="M84" s="33">
        <f t="shared" si="3"/>
        <v>8</v>
      </c>
      <c r="N84" s="33">
        <f t="shared" si="2"/>
        <v>32</v>
      </c>
      <c r="O84" s="25"/>
      <c r="P84" s="26"/>
      <c r="Q84" s="26"/>
      <c r="R84" s="26"/>
      <c r="S84" s="26"/>
      <c r="T84" s="26"/>
    </row>
    <row r="85">
      <c r="A85" s="42"/>
      <c r="B85" s="35"/>
      <c r="C85" s="35"/>
      <c r="D85" s="36"/>
      <c r="E85" s="37"/>
      <c r="F85" s="35"/>
      <c r="G85" s="35"/>
      <c r="H85" s="38"/>
      <c r="I85" s="36"/>
      <c r="J85" s="39"/>
      <c r="K85" s="43"/>
      <c r="L85" s="43"/>
      <c r="M85" s="43"/>
      <c r="N85" s="41"/>
      <c r="O85" s="25"/>
      <c r="P85" s="26"/>
      <c r="Q85" s="26"/>
      <c r="R85" s="26"/>
      <c r="S85" s="26"/>
      <c r="T85" s="26"/>
    </row>
    <row r="86">
      <c r="A86" s="44"/>
      <c r="B86" s="28"/>
      <c r="C86" s="28"/>
      <c r="D86" s="29"/>
      <c r="E86" s="30"/>
      <c r="F86" s="28"/>
      <c r="G86" s="28"/>
      <c r="H86" s="31"/>
      <c r="I86" s="29"/>
      <c r="J86" s="32"/>
      <c r="K86" s="29"/>
      <c r="L86" s="29"/>
      <c r="M86" s="29"/>
      <c r="N86" s="33"/>
      <c r="O86" s="25"/>
      <c r="P86" s="26"/>
      <c r="Q86" s="26"/>
      <c r="R86" s="26"/>
      <c r="S86" s="26"/>
      <c r="T86" s="26"/>
    </row>
    <row r="87">
      <c r="A87" s="42"/>
      <c r="B87" s="35"/>
      <c r="C87" s="35"/>
      <c r="D87" s="36"/>
      <c r="E87" s="37"/>
      <c r="F87" s="35"/>
      <c r="G87" s="35"/>
      <c r="H87" s="38"/>
      <c r="I87" s="36"/>
      <c r="J87" s="39"/>
      <c r="K87" s="43"/>
      <c r="L87" s="43"/>
      <c r="M87" s="43"/>
      <c r="N87" s="41"/>
      <c r="O87" s="25"/>
      <c r="P87" s="26"/>
      <c r="Q87" s="26"/>
      <c r="R87" s="26"/>
      <c r="S87" s="26"/>
      <c r="T87" s="26"/>
    </row>
    <row r="88">
      <c r="A88" s="44"/>
      <c r="B88" s="28"/>
      <c r="C88" s="28"/>
      <c r="D88" s="29"/>
      <c r="E88" s="30"/>
      <c r="F88" s="28"/>
      <c r="G88" s="28"/>
      <c r="H88" s="31"/>
      <c r="I88" s="29"/>
      <c r="J88" s="32"/>
      <c r="K88" s="29"/>
      <c r="L88" s="29"/>
      <c r="M88" s="29"/>
      <c r="N88" s="33"/>
      <c r="O88" s="25"/>
      <c r="P88" s="26"/>
      <c r="Q88" s="26"/>
      <c r="R88" s="26"/>
      <c r="S88" s="26"/>
      <c r="T88" s="26"/>
    </row>
    <row r="89">
      <c r="A89" s="42"/>
      <c r="B89" s="35"/>
      <c r="C89" s="35"/>
      <c r="D89" s="36"/>
      <c r="E89" s="37"/>
      <c r="F89" s="35"/>
      <c r="G89" s="35"/>
      <c r="H89" s="38"/>
      <c r="I89" s="36"/>
      <c r="J89" s="39"/>
      <c r="K89" s="43"/>
      <c r="L89" s="43"/>
      <c r="M89" s="43"/>
      <c r="N89" s="41"/>
      <c r="O89" s="25"/>
      <c r="P89" s="26"/>
      <c r="Q89" s="26"/>
      <c r="R89" s="26"/>
      <c r="S89" s="26"/>
      <c r="T89" s="26"/>
    </row>
    <row r="90">
      <c r="A90" s="44"/>
      <c r="B90" s="28"/>
      <c r="C90" s="28"/>
      <c r="D90" s="29"/>
      <c r="E90" s="30"/>
      <c r="F90" s="28"/>
      <c r="G90" s="28"/>
      <c r="H90" s="31"/>
      <c r="I90" s="29"/>
      <c r="J90" s="32"/>
      <c r="K90" s="29"/>
      <c r="L90" s="29"/>
      <c r="M90" s="29"/>
      <c r="N90" s="33"/>
      <c r="O90" s="25"/>
      <c r="P90" s="26"/>
      <c r="Q90" s="26"/>
      <c r="R90" s="26"/>
      <c r="S90" s="26"/>
      <c r="T90" s="26"/>
    </row>
    <row r="91">
      <c r="A91" s="42"/>
      <c r="B91" s="35"/>
      <c r="C91" s="35"/>
      <c r="D91" s="36"/>
      <c r="E91" s="37"/>
      <c r="F91" s="35"/>
      <c r="G91" s="35"/>
      <c r="H91" s="38"/>
      <c r="I91" s="36"/>
      <c r="J91" s="39"/>
      <c r="K91" s="43"/>
      <c r="L91" s="43"/>
      <c r="M91" s="43"/>
      <c r="N91" s="41"/>
      <c r="O91" s="25"/>
      <c r="P91" s="26"/>
      <c r="Q91" s="26"/>
      <c r="R91" s="26"/>
      <c r="S91" s="26"/>
      <c r="T91" s="26"/>
    </row>
    <row r="92">
      <c r="A92" s="44"/>
      <c r="B92" s="28"/>
      <c r="C92" s="28"/>
      <c r="D92" s="29"/>
      <c r="E92" s="30"/>
      <c r="F92" s="28"/>
      <c r="G92" s="28"/>
      <c r="H92" s="31"/>
      <c r="I92" s="29"/>
      <c r="J92" s="32"/>
      <c r="K92" s="29"/>
      <c r="L92" s="29"/>
      <c r="M92" s="29"/>
      <c r="N92" s="33"/>
      <c r="O92" s="25"/>
      <c r="P92" s="26"/>
      <c r="Q92" s="26"/>
      <c r="R92" s="26"/>
      <c r="S92" s="26"/>
      <c r="T92" s="26"/>
    </row>
    <row r="93">
      <c r="A93" s="42"/>
      <c r="B93" s="35"/>
      <c r="C93" s="35"/>
      <c r="D93" s="36"/>
      <c r="E93" s="37"/>
      <c r="F93" s="35"/>
      <c r="G93" s="35"/>
      <c r="H93" s="38"/>
      <c r="I93" s="36"/>
      <c r="J93" s="39"/>
      <c r="K93" s="43"/>
      <c r="L93" s="43"/>
      <c r="M93" s="43"/>
      <c r="N93" s="41"/>
      <c r="O93" s="25"/>
      <c r="P93" s="26"/>
      <c r="Q93" s="26"/>
      <c r="R93" s="26"/>
      <c r="S93" s="26"/>
      <c r="T93" s="26"/>
    </row>
    <row r="94">
      <c r="A94" s="44"/>
      <c r="B94" s="28"/>
      <c r="C94" s="28"/>
      <c r="D94" s="29"/>
      <c r="E94" s="30"/>
      <c r="F94" s="28"/>
      <c r="G94" s="28"/>
      <c r="H94" s="31"/>
      <c r="I94" s="29"/>
      <c r="J94" s="32"/>
      <c r="K94" s="29"/>
      <c r="L94" s="29"/>
      <c r="M94" s="29"/>
      <c r="N94" s="33"/>
      <c r="O94" s="25"/>
      <c r="P94" s="26"/>
      <c r="Q94" s="26"/>
      <c r="R94" s="26"/>
      <c r="S94" s="26"/>
      <c r="T94" s="26"/>
    </row>
    <row r="95">
      <c r="A95" s="42"/>
      <c r="B95" s="35"/>
      <c r="C95" s="35"/>
      <c r="D95" s="36"/>
      <c r="E95" s="37"/>
      <c r="F95" s="35"/>
      <c r="G95" s="35"/>
      <c r="H95" s="38"/>
      <c r="I95" s="36"/>
      <c r="J95" s="39"/>
      <c r="K95" s="43"/>
      <c r="L95" s="43"/>
      <c r="M95" s="43"/>
      <c r="N95" s="41"/>
      <c r="O95" s="25"/>
      <c r="P95" s="26"/>
      <c r="Q95" s="26"/>
      <c r="R95" s="26"/>
      <c r="S95" s="26"/>
      <c r="T95" s="26"/>
    </row>
    <row r="96">
      <c r="A96" s="44"/>
      <c r="B96" s="28"/>
      <c r="C96" s="28"/>
      <c r="D96" s="29"/>
      <c r="E96" s="30"/>
      <c r="F96" s="28"/>
      <c r="G96" s="28"/>
      <c r="H96" s="31"/>
      <c r="I96" s="29"/>
      <c r="J96" s="32"/>
      <c r="K96" s="29"/>
      <c r="L96" s="29"/>
      <c r="M96" s="29"/>
      <c r="N96" s="33"/>
      <c r="O96" s="25"/>
      <c r="P96" s="26"/>
      <c r="Q96" s="26"/>
      <c r="R96" s="26"/>
      <c r="S96" s="26"/>
      <c r="T96" s="26"/>
    </row>
    <row r="97">
      <c r="A97" s="42"/>
      <c r="B97" s="35"/>
      <c r="C97" s="35"/>
      <c r="D97" s="36"/>
      <c r="E97" s="37"/>
      <c r="F97" s="35"/>
      <c r="G97" s="35"/>
      <c r="H97" s="38"/>
      <c r="I97" s="36"/>
      <c r="J97" s="39"/>
      <c r="K97" s="43"/>
      <c r="L97" s="43"/>
      <c r="M97" s="43"/>
      <c r="N97" s="41"/>
      <c r="O97" s="25"/>
      <c r="P97" s="26"/>
      <c r="Q97" s="26"/>
      <c r="R97" s="26"/>
      <c r="S97" s="26"/>
      <c r="T97" s="26"/>
    </row>
    <row r="98">
      <c r="A98" s="44"/>
      <c r="B98" s="28"/>
      <c r="C98" s="28"/>
      <c r="D98" s="29"/>
      <c r="E98" s="30"/>
      <c r="F98" s="28"/>
      <c r="G98" s="28"/>
      <c r="H98" s="31"/>
      <c r="I98" s="29"/>
      <c r="J98" s="32"/>
      <c r="K98" s="29"/>
      <c r="L98" s="29"/>
      <c r="M98" s="29"/>
      <c r="N98" s="33"/>
      <c r="O98" s="25"/>
      <c r="P98" s="26"/>
      <c r="Q98" s="26"/>
      <c r="R98" s="26"/>
      <c r="S98" s="26"/>
      <c r="T98" s="26"/>
    </row>
    <row r="99">
      <c r="A99" s="45"/>
      <c r="B99" s="46"/>
      <c r="C99" s="46"/>
      <c r="D99" s="43"/>
      <c r="E99" s="43"/>
      <c r="F99" s="46"/>
      <c r="G99" s="46"/>
      <c r="H99" s="47"/>
      <c r="I99" s="43"/>
      <c r="J99" s="47"/>
      <c r="K99" s="43"/>
      <c r="L99" s="43"/>
      <c r="M99" s="43"/>
      <c r="N99" s="41">
        <f t="shared" ref="N99:N187" si="4">SUM(K99:M99)</f>
        <v>0</v>
      </c>
      <c r="O99" s="25"/>
      <c r="P99" s="26"/>
      <c r="Q99" s="26"/>
      <c r="R99" s="26"/>
      <c r="S99" s="26"/>
      <c r="T99" s="26"/>
    </row>
    <row r="100">
      <c r="A100" s="48"/>
      <c r="B100" s="49"/>
      <c r="C100" s="49"/>
      <c r="D100" s="29"/>
      <c r="E100" s="29"/>
      <c r="F100" s="49"/>
      <c r="G100" s="49"/>
      <c r="H100" s="50"/>
      <c r="I100" s="29"/>
      <c r="J100" s="50"/>
      <c r="K100" s="29"/>
      <c r="L100" s="29"/>
      <c r="M100" s="29"/>
      <c r="N100" s="33">
        <f t="shared" si="4"/>
        <v>0</v>
      </c>
      <c r="O100" s="25"/>
      <c r="P100" s="26"/>
      <c r="Q100" s="26"/>
      <c r="R100" s="26"/>
      <c r="S100" s="26"/>
      <c r="T100" s="26"/>
    </row>
    <row r="101">
      <c r="A101" s="45"/>
      <c r="B101" s="46"/>
      <c r="C101" s="46"/>
      <c r="D101" s="43"/>
      <c r="E101" s="43"/>
      <c r="F101" s="46"/>
      <c r="G101" s="46"/>
      <c r="H101" s="47"/>
      <c r="I101" s="43"/>
      <c r="J101" s="47"/>
      <c r="K101" s="43"/>
      <c r="L101" s="43"/>
      <c r="M101" s="43"/>
      <c r="N101" s="41">
        <f t="shared" si="4"/>
        <v>0</v>
      </c>
      <c r="O101" s="25"/>
      <c r="P101" s="26"/>
      <c r="Q101" s="26"/>
      <c r="R101" s="26"/>
      <c r="S101" s="26"/>
      <c r="T101" s="26"/>
    </row>
    <row r="102">
      <c r="A102" s="48"/>
      <c r="B102" s="49"/>
      <c r="C102" s="49"/>
      <c r="D102" s="29"/>
      <c r="E102" s="29"/>
      <c r="F102" s="49"/>
      <c r="G102" s="49"/>
      <c r="H102" s="50"/>
      <c r="I102" s="29"/>
      <c r="J102" s="50"/>
      <c r="K102" s="29"/>
      <c r="L102" s="29"/>
      <c r="M102" s="29"/>
      <c r="N102" s="33">
        <f t="shared" si="4"/>
        <v>0</v>
      </c>
      <c r="O102" s="25"/>
      <c r="P102" s="26"/>
      <c r="Q102" s="26"/>
      <c r="R102" s="26"/>
      <c r="S102" s="26"/>
      <c r="T102" s="26"/>
    </row>
    <row r="103">
      <c r="A103" s="45"/>
      <c r="B103" s="46"/>
      <c r="C103" s="46"/>
      <c r="D103" s="43"/>
      <c r="E103" s="43"/>
      <c r="F103" s="46"/>
      <c r="G103" s="46"/>
      <c r="H103" s="47"/>
      <c r="I103" s="43"/>
      <c r="J103" s="47"/>
      <c r="K103" s="43"/>
      <c r="L103" s="43"/>
      <c r="M103" s="43"/>
      <c r="N103" s="41">
        <f t="shared" si="4"/>
        <v>0</v>
      </c>
      <c r="O103" s="25"/>
      <c r="P103" s="26"/>
      <c r="Q103" s="26"/>
      <c r="R103" s="26"/>
      <c r="S103" s="26"/>
      <c r="T103" s="26"/>
    </row>
    <row r="104">
      <c r="A104" s="48"/>
      <c r="B104" s="49"/>
      <c r="C104" s="49"/>
      <c r="D104" s="29"/>
      <c r="E104" s="29"/>
      <c r="F104" s="49"/>
      <c r="G104" s="49"/>
      <c r="H104" s="50"/>
      <c r="I104" s="29"/>
      <c r="J104" s="50"/>
      <c r="K104" s="29"/>
      <c r="L104" s="29"/>
      <c r="M104" s="29"/>
      <c r="N104" s="33">
        <f t="shared" si="4"/>
        <v>0</v>
      </c>
      <c r="O104" s="25"/>
      <c r="P104" s="26"/>
      <c r="Q104" s="26"/>
      <c r="R104" s="26"/>
      <c r="S104" s="26"/>
      <c r="T104" s="26"/>
    </row>
    <row r="105">
      <c r="A105" s="45"/>
      <c r="B105" s="46"/>
      <c r="C105" s="46"/>
      <c r="D105" s="43"/>
      <c r="E105" s="43"/>
      <c r="F105" s="46"/>
      <c r="G105" s="46"/>
      <c r="H105" s="47"/>
      <c r="I105" s="43"/>
      <c r="J105" s="47"/>
      <c r="K105" s="43"/>
      <c r="L105" s="43"/>
      <c r="M105" s="43"/>
      <c r="N105" s="41">
        <f t="shared" si="4"/>
        <v>0</v>
      </c>
      <c r="O105" s="25"/>
      <c r="P105" s="26"/>
      <c r="Q105" s="26"/>
      <c r="R105" s="26"/>
      <c r="S105" s="26"/>
      <c r="T105" s="26"/>
    </row>
    <row r="106">
      <c r="A106" s="48"/>
      <c r="B106" s="49"/>
      <c r="C106" s="49"/>
      <c r="D106" s="29"/>
      <c r="E106" s="29"/>
      <c r="F106" s="49"/>
      <c r="G106" s="49"/>
      <c r="H106" s="50"/>
      <c r="I106" s="29"/>
      <c r="J106" s="50"/>
      <c r="K106" s="29"/>
      <c r="L106" s="29"/>
      <c r="M106" s="29"/>
      <c r="N106" s="33">
        <f t="shared" si="4"/>
        <v>0</v>
      </c>
      <c r="O106" s="25"/>
      <c r="P106" s="26"/>
      <c r="Q106" s="26"/>
      <c r="R106" s="26"/>
      <c r="S106" s="26"/>
      <c r="T106" s="26"/>
    </row>
    <row r="107">
      <c r="A107" s="45"/>
      <c r="B107" s="46"/>
      <c r="C107" s="46"/>
      <c r="D107" s="43"/>
      <c r="E107" s="43"/>
      <c r="F107" s="46"/>
      <c r="G107" s="46"/>
      <c r="H107" s="47"/>
      <c r="I107" s="43"/>
      <c r="J107" s="47"/>
      <c r="K107" s="43"/>
      <c r="L107" s="43"/>
      <c r="M107" s="43"/>
      <c r="N107" s="41">
        <f t="shared" si="4"/>
        <v>0</v>
      </c>
      <c r="O107" s="25"/>
      <c r="P107" s="26"/>
      <c r="Q107" s="26"/>
      <c r="R107" s="26"/>
      <c r="S107" s="26"/>
      <c r="T107" s="26"/>
    </row>
    <row r="108">
      <c r="A108" s="48"/>
      <c r="B108" s="49"/>
      <c r="C108" s="49"/>
      <c r="D108" s="29"/>
      <c r="E108" s="29"/>
      <c r="F108" s="49"/>
      <c r="G108" s="49"/>
      <c r="H108" s="50"/>
      <c r="I108" s="29"/>
      <c r="J108" s="50"/>
      <c r="K108" s="29"/>
      <c r="L108" s="29"/>
      <c r="M108" s="29"/>
      <c r="N108" s="33">
        <f t="shared" si="4"/>
        <v>0</v>
      </c>
      <c r="O108" s="25"/>
      <c r="P108" s="26"/>
      <c r="Q108" s="26"/>
      <c r="R108" s="26"/>
      <c r="S108" s="26"/>
      <c r="T108" s="26"/>
    </row>
    <row r="109">
      <c r="A109" s="45"/>
      <c r="B109" s="46"/>
      <c r="C109" s="46"/>
      <c r="D109" s="43"/>
      <c r="E109" s="43"/>
      <c r="F109" s="46"/>
      <c r="G109" s="46"/>
      <c r="H109" s="47"/>
      <c r="I109" s="43"/>
      <c r="J109" s="47"/>
      <c r="K109" s="43"/>
      <c r="L109" s="43"/>
      <c r="M109" s="43"/>
      <c r="N109" s="41">
        <f t="shared" si="4"/>
        <v>0</v>
      </c>
      <c r="O109" s="25"/>
      <c r="P109" s="26"/>
      <c r="Q109" s="26"/>
      <c r="R109" s="26"/>
      <c r="S109" s="26"/>
      <c r="T109" s="26"/>
    </row>
    <row r="110">
      <c r="A110" s="48"/>
      <c r="B110" s="49"/>
      <c r="C110" s="49"/>
      <c r="D110" s="29"/>
      <c r="E110" s="29"/>
      <c r="F110" s="49"/>
      <c r="G110" s="49"/>
      <c r="H110" s="50"/>
      <c r="I110" s="29"/>
      <c r="J110" s="50"/>
      <c r="K110" s="29"/>
      <c r="L110" s="29"/>
      <c r="M110" s="29"/>
      <c r="N110" s="33">
        <f t="shared" si="4"/>
        <v>0</v>
      </c>
      <c r="O110" s="25"/>
      <c r="P110" s="26"/>
      <c r="Q110" s="26"/>
      <c r="R110" s="26"/>
      <c r="S110" s="26"/>
      <c r="T110" s="26"/>
    </row>
    <row r="111">
      <c r="A111" s="45"/>
      <c r="B111" s="46"/>
      <c r="C111" s="46"/>
      <c r="D111" s="43"/>
      <c r="E111" s="43"/>
      <c r="F111" s="46"/>
      <c r="G111" s="46"/>
      <c r="H111" s="47"/>
      <c r="I111" s="43"/>
      <c r="J111" s="47"/>
      <c r="K111" s="43"/>
      <c r="L111" s="43"/>
      <c r="M111" s="43"/>
      <c r="N111" s="41">
        <f t="shared" si="4"/>
        <v>0</v>
      </c>
      <c r="O111" s="25"/>
      <c r="P111" s="26"/>
      <c r="Q111" s="26"/>
      <c r="R111" s="26"/>
      <c r="S111" s="26"/>
      <c r="T111" s="26"/>
    </row>
    <row r="112">
      <c r="A112" s="48"/>
      <c r="B112" s="49"/>
      <c r="C112" s="49"/>
      <c r="D112" s="29"/>
      <c r="E112" s="29"/>
      <c r="F112" s="49"/>
      <c r="G112" s="49"/>
      <c r="H112" s="50"/>
      <c r="I112" s="29"/>
      <c r="J112" s="50"/>
      <c r="K112" s="29"/>
      <c r="L112" s="29"/>
      <c r="M112" s="29"/>
      <c r="N112" s="33">
        <f t="shared" si="4"/>
        <v>0</v>
      </c>
      <c r="O112" s="25"/>
      <c r="P112" s="26"/>
      <c r="Q112" s="26"/>
      <c r="R112" s="26"/>
      <c r="S112" s="26"/>
      <c r="T112" s="26"/>
    </row>
    <row r="113">
      <c r="A113" s="45"/>
      <c r="B113" s="46"/>
      <c r="C113" s="46"/>
      <c r="D113" s="43"/>
      <c r="E113" s="43"/>
      <c r="F113" s="46"/>
      <c r="G113" s="46"/>
      <c r="H113" s="47"/>
      <c r="I113" s="43"/>
      <c r="J113" s="47"/>
      <c r="K113" s="43"/>
      <c r="L113" s="43"/>
      <c r="M113" s="43"/>
      <c r="N113" s="41">
        <f t="shared" si="4"/>
        <v>0</v>
      </c>
      <c r="O113" s="25"/>
      <c r="P113" s="26"/>
      <c r="Q113" s="26"/>
      <c r="R113" s="26"/>
      <c r="S113" s="26"/>
      <c r="T113" s="26"/>
    </row>
    <row r="114">
      <c r="A114" s="48"/>
      <c r="B114" s="49"/>
      <c r="C114" s="49"/>
      <c r="D114" s="29"/>
      <c r="E114" s="29"/>
      <c r="F114" s="49"/>
      <c r="G114" s="49"/>
      <c r="H114" s="50"/>
      <c r="I114" s="29"/>
      <c r="J114" s="50"/>
      <c r="K114" s="29"/>
      <c r="L114" s="29"/>
      <c r="M114" s="29"/>
      <c r="N114" s="33">
        <f t="shared" si="4"/>
        <v>0</v>
      </c>
      <c r="O114" s="25"/>
      <c r="P114" s="26"/>
      <c r="Q114" s="26"/>
      <c r="R114" s="26"/>
      <c r="S114" s="26"/>
      <c r="T114" s="26"/>
    </row>
    <row r="115">
      <c r="A115" s="45"/>
      <c r="B115" s="46"/>
      <c r="C115" s="46"/>
      <c r="D115" s="43"/>
      <c r="E115" s="43"/>
      <c r="F115" s="46"/>
      <c r="G115" s="46"/>
      <c r="H115" s="47"/>
      <c r="I115" s="43"/>
      <c r="J115" s="47"/>
      <c r="K115" s="43"/>
      <c r="L115" s="43"/>
      <c r="M115" s="43"/>
      <c r="N115" s="41">
        <f t="shared" si="4"/>
        <v>0</v>
      </c>
      <c r="O115" s="25"/>
      <c r="P115" s="26"/>
      <c r="Q115" s="26"/>
      <c r="R115" s="26"/>
      <c r="S115" s="26"/>
      <c r="T115" s="26"/>
    </row>
    <row r="116">
      <c r="A116" s="48"/>
      <c r="B116" s="49"/>
      <c r="C116" s="49"/>
      <c r="D116" s="29"/>
      <c r="E116" s="29"/>
      <c r="F116" s="49"/>
      <c r="G116" s="49"/>
      <c r="H116" s="50"/>
      <c r="I116" s="29"/>
      <c r="J116" s="50"/>
      <c r="K116" s="29"/>
      <c r="L116" s="29"/>
      <c r="M116" s="29"/>
      <c r="N116" s="33">
        <f t="shared" si="4"/>
        <v>0</v>
      </c>
      <c r="O116" s="25"/>
      <c r="P116" s="26"/>
      <c r="Q116" s="26"/>
      <c r="R116" s="26"/>
      <c r="S116" s="26"/>
      <c r="T116" s="26"/>
    </row>
    <row r="117">
      <c r="A117" s="45"/>
      <c r="B117" s="46"/>
      <c r="C117" s="46"/>
      <c r="D117" s="43"/>
      <c r="E117" s="43"/>
      <c r="F117" s="46"/>
      <c r="G117" s="46"/>
      <c r="H117" s="47"/>
      <c r="I117" s="43"/>
      <c r="J117" s="47"/>
      <c r="K117" s="43"/>
      <c r="L117" s="43"/>
      <c r="M117" s="43"/>
      <c r="N117" s="41">
        <f t="shared" si="4"/>
        <v>0</v>
      </c>
      <c r="O117" s="25"/>
      <c r="P117" s="26"/>
      <c r="Q117" s="26"/>
      <c r="R117" s="26"/>
      <c r="S117" s="26"/>
      <c r="T117" s="26"/>
    </row>
    <row r="118">
      <c r="A118" s="48"/>
      <c r="B118" s="49"/>
      <c r="C118" s="49"/>
      <c r="D118" s="29"/>
      <c r="E118" s="29"/>
      <c r="F118" s="49"/>
      <c r="G118" s="49"/>
      <c r="H118" s="50"/>
      <c r="I118" s="29"/>
      <c r="J118" s="50"/>
      <c r="K118" s="29"/>
      <c r="L118" s="29"/>
      <c r="M118" s="29"/>
      <c r="N118" s="33">
        <f t="shared" si="4"/>
        <v>0</v>
      </c>
      <c r="O118" s="25"/>
      <c r="P118" s="26"/>
      <c r="Q118" s="26"/>
      <c r="R118" s="26"/>
      <c r="S118" s="26"/>
      <c r="T118" s="26"/>
    </row>
    <row r="119">
      <c r="A119" s="45"/>
      <c r="B119" s="46"/>
      <c r="C119" s="46"/>
      <c r="D119" s="43"/>
      <c r="E119" s="43"/>
      <c r="F119" s="46"/>
      <c r="G119" s="46"/>
      <c r="H119" s="47"/>
      <c r="I119" s="43"/>
      <c r="J119" s="47"/>
      <c r="K119" s="43"/>
      <c r="L119" s="43"/>
      <c r="M119" s="43"/>
      <c r="N119" s="41">
        <f t="shared" si="4"/>
        <v>0</v>
      </c>
      <c r="O119" s="25"/>
      <c r="P119" s="26"/>
      <c r="Q119" s="26"/>
      <c r="R119" s="26"/>
      <c r="S119" s="26"/>
      <c r="T119" s="26"/>
    </row>
    <row r="120">
      <c r="A120" s="48"/>
      <c r="B120" s="49"/>
      <c r="C120" s="49"/>
      <c r="D120" s="29"/>
      <c r="E120" s="29"/>
      <c r="F120" s="49"/>
      <c r="G120" s="49"/>
      <c r="H120" s="50"/>
      <c r="I120" s="29"/>
      <c r="J120" s="50"/>
      <c r="K120" s="29"/>
      <c r="L120" s="29"/>
      <c r="M120" s="29"/>
      <c r="N120" s="33">
        <f t="shared" si="4"/>
        <v>0</v>
      </c>
      <c r="O120" s="25"/>
      <c r="P120" s="26"/>
      <c r="Q120" s="26"/>
      <c r="R120" s="26"/>
      <c r="S120" s="26"/>
      <c r="T120" s="26"/>
    </row>
    <row r="121">
      <c r="A121" s="45"/>
      <c r="B121" s="46"/>
      <c r="C121" s="46"/>
      <c r="D121" s="43"/>
      <c r="E121" s="43"/>
      <c r="F121" s="46"/>
      <c r="G121" s="46"/>
      <c r="H121" s="47"/>
      <c r="I121" s="43"/>
      <c r="J121" s="47"/>
      <c r="K121" s="43"/>
      <c r="L121" s="43"/>
      <c r="M121" s="43"/>
      <c r="N121" s="41">
        <f t="shared" si="4"/>
        <v>0</v>
      </c>
      <c r="O121" s="25"/>
      <c r="P121" s="26"/>
      <c r="Q121" s="26"/>
      <c r="R121" s="26"/>
      <c r="S121" s="26"/>
      <c r="T121" s="26"/>
    </row>
    <row r="122">
      <c r="A122" s="48"/>
      <c r="B122" s="49"/>
      <c r="C122" s="49"/>
      <c r="D122" s="29"/>
      <c r="E122" s="29"/>
      <c r="F122" s="49"/>
      <c r="G122" s="49"/>
      <c r="H122" s="50"/>
      <c r="I122" s="29"/>
      <c r="J122" s="50"/>
      <c r="K122" s="29"/>
      <c r="L122" s="29"/>
      <c r="M122" s="29"/>
      <c r="N122" s="33">
        <f t="shared" si="4"/>
        <v>0</v>
      </c>
      <c r="O122" s="25"/>
      <c r="P122" s="26"/>
      <c r="Q122" s="26"/>
      <c r="R122" s="26"/>
      <c r="S122" s="26"/>
      <c r="T122" s="26"/>
    </row>
    <row r="123">
      <c r="A123" s="45"/>
      <c r="B123" s="46"/>
      <c r="C123" s="46"/>
      <c r="D123" s="43"/>
      <c r="E123" s="43"/>
      <c r="F123" s="46"/>
      <c r="G123" s="46"/>
      <c r="H123" s="47"/>
      <c r="I123" s="43"/>
      <c r="J123" s="47"/>
      <c r="K123" s="43"/>
      <c r="L123" s="43"/>
      <c r="M123" s="43"/>
      <c r="N123" s="41">
        <f t="shared" si="4"/>
        <v>0</v>
      </c>
      <c r="O123" s="25"/>
      <c r="P123" s="26"/>
      <c r="Q123" s="26"/>
      <c r="R123" s="26"/>
      <c r="S123" s="26"/>
      <c r="T123" s="26"/>
    </row>
    <row r="124">
      <c r="A124" s="48"/>
      <c r="B124" s="49"/>
      <c r="C124" s="49"/>
      <c r="D124" s="29"/>
      <c r="E124" s="29"/>
      <c r="F124" s="49"/>
      <c r="G124" s="49"/>
      <c r="H124" s="50"/>
      <c r="I124" s="29"/>
      <c r="J124" s="50"/>
      <c r="K124" s="29"/>
      <c r="L124" s="29"/>
      <c r="M124" s="29"/>
      <c r="N124" s="33">
        <f t="shared" si="4"/>
        <v>0</v>
      </c>
      <c r="O124" s="25"/>
      <c r="P124" s="26"/>
      <c r="Q124" s="26"/>
      <c r="R124" s="26"/>
      <c r="S124" s="26"/>
      <c r="T124" s="26"/>
    </row>
    <row r="125">
      <c r="A125" s="45"/>
      <c r="B125" s="46"/>
      <c r="C125" s="46"/>
      <c r="D125" s="43"/>
      <c r="E125" s="43"/>
      <c r="F125" s="46"/>
      <c r="G125" s="46"/>
      <c r="H125" s="47"/>
      <c r="I125" s="43"/>
      <c r="J125" s="47"/>
      <c r="K125" s="43"/>
      <c r="L125" s="43"/>
      <c r="M125" s="43"/>
      <c r="N125" s="41">
        <f t="shared" si="4"/>
        <v>0</v>
      </c>
      <c r="O125" s="25"/>
      <c r="P125" s="26"/>
      <c r="Q125" s="26"/>
      <c r="R125" s="26"/>
      <c r="S125" s="26"/>
      <c r="T125" s="26"/>
    </row>
    <row r="126">
      <c r="A126" s="48"/>
      <c r="B126" s="49"/>
      <c r="C126" s="49"/>
      <c r="D126" s="29"/>
      <c r="E126" s="29"/>
      <c r="F126" s="49"/>
      <c r="G126" s="49"/>
      <c r="H126" s="50"/>
      <c r="I126" s="29"/>
      <c r="J126" s="50"/>
      <c r="K126" s="29"/>
      <c r="L126" s="29"/>
      <c r="M126" s="29"/>
      <c r="N126" s="33">
        <f t="shared" si="4"/>
        <v>0</v>
      </c>
      <c r="O126" s="25"/>
      <c r="P126" s="26"/>
      <c r="Q126" s="26"/>
      <c r="R126" s="26"/>
      <c r="S126" s="26"/>
      <c r="T126" s="26"/>
    </row>
    <row r="127">
      <c r="A127" s="45"/>
      <c r="B127" s="46"/>
      <c r="C127" s="46"/>
      <c r="D127" s="43"/>
      <c r="E127" s="43"/>
      <c r="F127" s="46"/>
      <c r="G127" s="46"/>
      <c r="H127" s="47"/>
      <c r="I127" s="43"/>
      <c r="J127" s="47"/>
      <c r="K127" s="43"/>
      <c r="L127" s="43"/>
      <c r="M127" s="43"/>
      <c r="N127" s="41">
        <f t="shared" si="4"/>
        <v>0</v>
      </c>
      <c r="O127" s="25"/>
      <c r="P127" s="26"/>
      <c r="Q127" s="26"/>
      <c r="R127" s="26"/>
      <c r="S127" s="26"/>
      <c r="T127" s="26"/>
    </row>
    <row r="128">
      <c r="A128" s="48"/>
      <c r="B128" s="49"/>
      <c r="C128" s="49"/>
      <c r="D128" s="29"/>
      <c r="E128" s="29"/>
      <c r="F128" s="49"/>
      <c r="G128" s="49"/>
      <c r="H128" s="50"/>
      <c r="I128" s="29"/>
      <c r="J128" s="50"/>
      <c r="K128" s="29"/>
      <c r="L128" s="29"/>
      <c r="M128" s="29"/>
      <c r="N128" s="33">
        <f t="shared" si="4"/>
        <v>0</v>
      </c>
      <c r="O128" s="25"/>
      <c r="P128" s="26"/>
      <c r="Q128" s="26"/>
      <c r="R128" s="26"/>
      <c r="S128" s="26"/>
      <c r="T128" s="26"/>
    </row>
    <row r="129">
      <c r="A129" s="45"/>
      <c r="B129" s="46"/>
      <c r="C129" s="46"/>
      <c r="D129" s="43"/>
      <c r="E129" s="43"/>
      <c r="F129" s="46"/>
      <c r="G129" s="46"/>
      <c r="H129" s="47"/>
      <c r="I129" s="43"/>
      <c r="J129" s="47"/>
      <c r="K129" s="43"/>
      <c r="L129" s="43"/>
      <c r="M129" s="43"/>
      <c r="N129" s="41">
        <f t="shared" si="4"/>
        <v>0</v>
      </c>
      <c r="O129" s="25"/>
      <c r="P129" s="26"/>
      <c r="Q129" s="26"/>
      <c r="R129" s="26"/>
      <c r="S129" s="26"/>
      <c r="T129" s="26"/>
    </row>
    <row r="130">
      <c r="A130" s="48"/>
      <c r="B130" s="49"/>
      <c r="C130" s="49"/>
      <c r="D130" s="29"/>
      <c r="E130" s="29"/>
      <c r="F130" s="49"/>
      <c r="G130" s="49"/>
      <c r="H130" s="50"/>
      <c r="I130" s="29"/>
      <c r="J130" s="50"/>
      <c r="K130" s="29"/>
      <c r="L130" s="29"/>
      <c r="M130" s="29"/>
      <c r="N130" s="33">
        <f t="shared" si="4"/>
        <v>0</v>
      </c>
      <c r="O130" s="25"/>
      <c r="P130" s="26"/>
      <c r="Q130" s="26"/>
      <c r="R130" s="26"/>
      <c r="S130" s="26"/>
      <c r="T130" s="26"/>
    </row>
    <row r="131">
      <c r="A131" s="45"/>
      <c r="B131" s="46"/>
      <c r="C131" s="46"/>
      <c r="D131" s="43"/>
      <c r="E131" s="43"/>
      <c r="F131" s="46"/>
      <c r="G131" s="46"/>
      <c r="H131" s="47"/>
      <c r="I131" s="43"/>
      <c r="J131" s="47"/>
      <c r="K131" s="43"/>
      <c r="L131" s="43"/>
      <c r="M131" s="43"/>
      <c r="N131" s="41">
        <f t="shared" si="4"/>
        <v>0</v>
      </c>
      <c r="O131" s="25"/>
      <c r="P131" s="26"/>
      <c r="Q131" s="26"/>
      <c r="R131" s="26"/>
      <c r="S131" s="26"/>
      <c r="T131" s="26"/>
    </row>
    <row r="132">
      <c r="A132" s="48"/>
      <c r="B132" s="49"/>
      <c r="C132" s="49"/>
      <c r="D132" s="29"/>
      <c r="E132" s="29"/>
      <c r="F132" s="49"/>
      <c r="G132" s="49"/>
      <c r="H132" s="50"/>
      <c r="I132" s="29"/>
      <c r="J132" s="50"/>
      <c r="K132" s="29"/>
      <c r="L132" s="29"/>
      <c r="M132" s="29"/>
      <c r="N132" s="33">
        <f t="shared" si="4"/>
        <v>0</v>
      </c>
      <c r="O132" s="25"/>
      <c r="P132" s="26"/>
      <c r="Q132" s="26"/>
      <c r="R132" s="26"/>
      <c r="S132" s="26"/>
      <c r="T132" s="26"/>
    </row>
    <row r="133">
      <c r="A133" s="45"/>
      <c r="B133" s="46"/>
      <c r="C133" s="46"/>
      <c r="D133" s="43"/>
      <c r="E133" s="43"/>
      <c r="F133" s="46"/>
      <c r="G133" s="46"/>
      <c r="H133" s="47"/>
      <c r="I133" s="43"/>
      <c r="J133" s="47"/>
      <c r="K133" s="43"/>
      <c r="L133" s="43"/>
      <c r="M133" s="43"/>
      <c r="N133" s="41">
        <f t="shared" si="4"/>
        <v>0</v>
      </c>
      <c r="O133" s="25"/>
      <c r="P133" s="26"/>
      <c r="Q133" s="26"/>
      <c r="R133" s="26"/>
      <c r="S133" s="26"/>
      <c r="T133" s="26"/>
    </row>
    <row r="134">
      <c r="A134" s="48"/>
      <c r="B134" s="49"/>
      <c r="C134" s="49"/>
      <c r="D134" s="29"/>
      <c r="E134" s="29"/>
      <c r="F134" s="49"/>
      <c r="G134" s="49"/>
      <c r="H134" s="50"/>
      <c r="I134" s="29"/>
      <c r="J134" s="50"/>
      <c r="K134" s="29"/>
      <c r="L134" s="29"/>
      <c r="M134" s="29"/>
      <c r="N134" s="33">
        <f t="shared" si="4"/>
        <v>0</v>
      </c>
      <c r="O134" s="25"/>
      <c r="P134" s="26"/>
      <c r="Q134" s="26"/>
      <c r="R134" s="26"/>
      <c r="S134" s="26"/>
      <c r="T134" s="26"/>
    </row>
    <row r="135">
      <c r="A135" s="45"/>
      <c r="B135" s="46"/>
      <c r="C135" s="46"/>
      <c r="D135" s="43"/>
      <c r="E135" s="43"/>
      <c r="F135" s="46"/>
      <c r="G135" s="46"/>
      <c r="H135" s="47"/>
      <c r="I135" s="43"/>
      <c r="J135" s="47"/>
      <c r="K135" s="43"/>
      <c r="L135" s="43"/>
      <c r="M135" s="43"/>
      <c r="N135" s="41">
        <f t="shared" si="4"/>
        <v>0</v>
      </c>
      <c r="O135" s="25"/>
      <c r="P135" s="26"/>
      <c r="Q135" s="26"/>
      <c r="R135" s="26"/>
      <c r="S135" s="26"/>
      <c r="T135" s="26"/>
    </row>
    <row r="136">
      <c r="A136" s="48"/>
      <c r="B136" s="49"/>
      <c r="C136" s="49"/>
      <c r="D136" s="29"/>
      <c r="E136" s="29"/>
      <c r="F136" s="49"/>
      <c r="G136" s="49"/>
      <c r="H136" s="50"/>
      <c r="I136" s="29"/>
      <c r="J136" s="50"/>
      <c r="K136" s="29"/>
      <c r="L136" s="29"/>
      <c r="M136" s="29"/>
      <c r="N136" s="33">
        <f t="shared" si="4"/>
        <v>0</v>
      </c>
      <c r="O136" s="25"/>
      <c r="P136" s="26"/>
      <c r="Q136" s="26"/>
      <c r="R136" s="26"/>
      <c r="S136" s="26"/>
      <c r="T136" s="26"/>
    </row>
    <row r="137">
      <c r="A137" s="45"/>
      <c r="B137" s="46"/>
      <c r="C137" s="46"/>
      <c r="D137" s="43"/>
      <c r="E137" s="43"/>
      <c r="F137" s="46"/>
      <c r="G137" s="46"/>
      <c r="H137" s="47"/>
      <c r="I137" s="43"/>
      <c r="J137" s="47"/>
      <c r="K137" s="43"/>
      <c r="L137" s="43"/>
      <c r="M137" s="43"/>
      <c r="N137" s="41">
        <f t="shared" si="4"/>
        <v>0</v>
      </c>
      <c r="O137" s="25"/>
      <c r="P137" s="26"/>
      <c r="Q137" s="26"/>
      <c r="R137" s="26"/>
      <c r="S137" s="26"/>
      <c r="T137" s="26"/>
    </row>
    <row r="138">
      <c r="A138" s="48"/>
      <c r="B138" s="49"/>
      <c r="C138" s="49"/>
      <c r="D138" s="29"/>
      <c r="E138" s="29"/>
      <c r="F138" s="49"/>
      <c r="G138" s="49"/>
      <c r="H138" s="50"/>
      <c r="I138" s="29"/>
      <c r="J138" s="50"/>
      <c r="K138" s="29"/>
      <c r="L138" s="29"/>
      <c r="M138" s="29"/>
      <c r="N138" s="33">
        <f t="shared" si="4"/>
        <v>0</v>
      </c>
      <c r="O138" s="25"/>
      <c r="P138" s="26"/>
      <c r="Q138" s="26"/>
      <c r="R138" s="26"/>
      <c r="S138" s="26"/>
      <c r="T138" s="26"/>
    </row>
    <row r="139">
      <c r="A139" s="45"/>
      <c r="B139" s="46"/>
      <c r="C139" s="46"/>
      <c r="D139" s="43"/>
      <c r="E139" s="43"/>
      <c r="F139" s="46"/>
      <c r="G139" s="46"/>
      <c r="H139" s="47"/>
      <c r="I139" s="43"/>
      <c r="J139" s="47"/>
      <c r="K139" s="43"/>
      <c r="L139" s="43"/>
      <c r="M139" s="43"/>
      <c r="N139" s="41">
        <f t="shared" si="4"/>
        <v>0</v>
      </c>
      <c r="O139" s="25"/>
      <c r="P139" s="26"/>
      <c r="Q139" s="26"/>
      <c r="R139" s="26"/>
      <c r="S139" s="26"/>
      <c r="T139" s="26"/>
    </row>
    <row r="140">
      <c r="A140" s="48"/>
      <c r="B140" s="49"/>
      <c r="C140" s="49"/>
      <c r="D140" s="29"/>
      <c r="E140" s="29"/>
      <c r="F140" s="49"/>
      <c r="G140" s="49"/>
      <c r="H140" s="50"/>
      <c r="I140" s="29"/>
      <c r="J140" s="50"/>
      <c r="K140" s="29"/>
      <c r="L140" s="29"/>
      <c r="M140" s="29"/>
      <c r="N140" s="33">
        <f t="shared" si="4"/>
        <v>0</v>
      </c>
      <c r="O140" s="25"/>
      <c r="P140" s="26"/>
      <c r="Q140" s="26"/>
      <c r="R140" s="26"/>
      <c r="S140" s="26"/>
      <c r="T140" s="26"/>
    </row>
    <row r="141">
      <c r="A141" s="45"/>
      <c r="B141" s="46"/>
      <c r="C141" s="46"/>
      <c r="D141" s="43"/>
      <c r="E141" s="43"/>
      <c r="F141" s="46"/>
      <c r="G141" s="46"/>
      <c r="H141" s="47"/>
      <c r="I141" s="43"/>
      <c r="J141" s="47"/>
      <c r="K141" s="43"/>
      <c r="L141" s="43"/>
      <c r="M141" s="43"/>
      <c r="N141" s="41">
        <f t="shared" si="4"/>
        <v>0</v>
      </c>
      <c r="O141" s="25"/>
      <c r="P141" s="26"/>
      <c r="Q141" s="26"/>
      <c r="R141" s="26"/>
      <c r="S141" s="26"/>
      <c r="T141" s="26"/>
    </row>
    <row r="142">
      <c r="A142" s="48"/>
      <c r="B142" s="49"/>
      <c r="C142" s="49"/>
      <c r="D142" s="29"/>
      <c r="E142" s="29"/>
      <c r="F142" s="49"/>
      <c r="G142" s="49"/>
      <c r="H142" s="50"/>
      <c r="I142" s="29"/>
      <c r="J142" s="50"/>
      <c r="K142" s="29"/>
      <c r="L142" s="29"/>
      <c r="M142" s="29"/>
      <c r="N142" s="33">
        <f t="shared" si="4"/>
        <v>0</v>
      </c>
      <c r="O142" s="25"/>
      <c r="P142" s="26"/>
      <c r="Q142" s="26"/>
      <c r="R142" s="26"/>
      <c r="S142" s="26"/>
      <c r="T142" s="26"/>
    </row>
    <row r="143">
      <c r="A143" s="45"/>
      <c r="B143" s="46"/>
      <c r="C143" s="46"/>
      <c r="D143" s="43"/>
      <c r="E143" s="43"/>
      <c r="F143" s="46"/>
      <c r="G143" s="46"/>
      <c r="H143" s="47"/>
      <c r="I143" s="43"/>
      <c r="J143" s="47"/>
      <c r="K143" s="43"/>
      <c r="L143" s="43"/>
      <c r="M143" s="43"/>
      <c r="N143" s="41">
        <f t="shared" si="4"/>
        <v>0</v>
      </c>
      <c r="O143" s="25"/>
      <c r="P143" s="26"/>
      <c r="Q143" s="26"/>
      <c r="R143" s="26"/>
      <c r="S143" s="26"/>
      <c r="T143" s="26"/>
    </row>
    <row r="144">
      <c r="A144" s="48"/>
      <c r="B144" s="49"/>
      <c r="C144" s="49"/>
      <c r="D144" s="29"/>
      <c r="E144" s="29"/>
      <c r="F144" s="49"/>
      <c r="G144" s="49"/>
      <c r="H144" s="50"/>
      <c r="I144" s="29"/>
      <c r="J144" s="50"/>
      <c r="K144" s="29"/>
      <c r="L144" s="29"/>
      <c r="M144" s="29"/>
      <c r="N144" s="33">
        <f t="shared" si="4"/>
        <v>0</v>
      </c>
      <c r="O144" s="25"/>
      <c r="P144" s="26"/>
      <c r="Q144" s="26"/>
      <c r="R144" s="26"/>
      <c r="S144" s="26"/>
      <c r="T144" s="26"/>
    </row>
    <row r="145">
      <c r="A145" s="45"/>
      <c r="B145" s="46"/>
      <c r="C145" s="46"/>
      <c r="D145" s="43"/>
      <c r="E145" s="43"/>
      <c r="F145" s="46"/>
      <c r="G145" s="46"/>
      <c r="H145" s="47"/>
      <c r="I145" s="43"/>
      <c r="J145" s="47"/>
      <c r="K145" s="43"/>
      <c r="L145" s="43"/>
      <c r="M145" s="43"/>
      <c r="N145" s="41">
        <f t="shared" si="4"/>
        <v>0</v>
      </c>
      <c r="O145" s="25"/>
      <c r="P145" s="26"/>
      <c r="Q145" s="26"/>
      <c r="R145" s="26"/>
      <c r="S145" s="26"/>
      <c r="T145" s="26"/>
    </row>
    <row r="146">
      <c r="A146" s="48"/>
      <c r="B146" s="49"/>
      <c r="C146" s="49"/>
      <c r="D146" s="29"/>
      <c r="E146" s="29"/>
      <c r="F146" s="49"/>
      <c r="G146" s="49"/>
      <c r="H146" s="50"/>
      <c r="I146" s="29"/>
      <c r="J146" s="50"/>
      <c r="K146" s="29"/>
      <c r="L146" s="29"/>
      <c r="M146" s="29"/>
      <c r="N146" s="33">
        <f t="shared" si="4"/>
        <v>0</v>
      </c>
      <c r="O146" s="25"/>
      <c r="P146" s="26"/>
      <c r="Q146" s="26"/>
      <c r="R146" s="26"/>
      <c r="S146" s="26"/>
      <c r="T146" s="26"/>
    </row>
    <row r="147">
      <c r="A147" s="45"/>
      <c r="B147" s="46"/>
      <c r="C147" s="46"/>
      <c r="D147" s="43"/>
      <c r="E147" s="43"/>
      <c r="F147" s="46"/>
      <c r="G147" s="46"/>
      <c r="H147" s="47"/>
      <c r="I147" s="43"/>
      <c r="J147" s="47"/>
      <c r="K147" s="43"/>
      <c r="L147" s="43"/>
      <c r="M147" s="43"/>
      <c r="N147" s="41">
        <f t="shared" si="4"/>
        <v>0</v>
      </c>
      <c r="O147" s="25"/>
      <c r="P147" s="26"/>
      <c r="Q147" s="26"/>
      <c r="R147" s="26"/>
      <c r="S147" s="26"/>
      <c r="T147" s="26"/>
    </row>
    <row r="148">
      <c r="A148" s="48"/>
      <c r="B148" s="49"/>
      <c r="C148" s="49"/>
      <c r="D148" s="29"/>
      <c r="E148" s="29"/>
      <c r="F148" s="49"/>
      <c r="G148" s="49"/>
      <c r="H148" s="50"/>
      <c r="I148" s="29"/>
      <c r="J148" s="50"/>
      <c r="K148" s="29"/>
      <c r="L148" s="29"/>
      <c r="M148" s="29"/>
      <c r="N148" s="33">
        <f t="shared" si="4"/>
        <v>0</v>
      </c>
      <c r="O148" s="25"/>
      <c r="P148" s="26"/>
      <c r="Q148" s="26"/>
      <c r="R148" s="26"/>
      <c r="S148" s="26"/>
      <c r="T148" s="26"/>
    </row>
    <row r="149">
      <c r="A149" s="45"/>
      <c r="B149" s="46"/>
      <c r="C149" s="46"/>
      <c r="D149" s="43"/>
      <c r="E149" s="43"/>
      <c r="F149" s="46"/>
      <c r="G149" s="46"/>
      <c r="H149" s="47"/>
      <c r="I149" s="43"/>
      <c r="J149" s="47"/>
      <c r="K149" s="43"/>
      <c r="L149" s="43"/>
      <c r="M149" s="43"/>
      <c r="N149" s="41">
        <f t="shared" si="4"/>
        <v>0</v>
      </c>
      <c r="O149" s="25"/>
      <c r="P149" s="26"/>
      <c r="Q149" s="26"/>
      <c r="R149" s="26"/>
      <c r="S149" s="26"/>
      <c r="T149" s="26"/>
    </row>
    <row r="150">
      <c r="A150" s="48"/>
      <c r="B150" s="49"/>
      <c r="C150" s="49"/>
      <c r="D150" s="29"/>
      <c r="E150" s="29"/>
      <c r="F150" s="49"/>
      <c r="G150" s="49"/>
      <c r="H150" s="50"/>
      <c r="I150" s="29"/>
      <c r="J150" s="50"/>
      <c r="K150" s="29"/>
      <c r="L150" s="29"/>
      <c r="M150" s="29"/>
      <c r="N150" s="33">
        <f t="shared" si="4"/>
        <v>0</v>
      </c>
      <c r="O150" s="25"/>
      <c r="P150" s="26"/>
      <c r="Q150" s="26"/>
      <c r="R150" s="26"/>
      <c r="S150" s="26"/>
      <c r="T150" s="26"/>
    </row>
    <row r="151">
      <c r="A151" s="45"/>
      <c r="B151" s="46"/>
      <c r="C151" s="46"/>
      <c r="D151" s="43"/>
      <c r="E151" s="43"/>
      <c r="F151" s="46"/>
      <c r="G151" s="46"/>
      <c r="H151" s="47"/>
      <c r="I151" s="43"/>
      <c r="J151" s="47"/>
      <c r="K151" s="43"/>
      <c r="L151" s="43"/>
      <c r="M151" s="43"/>
      <c r="N151" s="41">
        <f t="shared" si="4"/>
        <v>0</v>
      </c>
      <c r="O151" s="25"/>
      <c r="P151" s="26"/>
      <c r="Q151" s="26"/>
      <c r="R151" s="26"/>
      <c r="S151" s="26"/>
      <c r="T151" s="26"/>
    </row>
    <row r="152">
      <c r="A152" s="48"/>
      <c r="B152" s="49"/>
      <c r="C152" s="49"/>
      <c r="D152" s="29"/>
      <c r="E152" s="29"/>
      <c r="F152" s="49"/>
      <c r="G152" s="49"/>
      <c r="H152" s="50"/>
      <c r="I152" s="29"/>
      <c r="J152" s="50"/>
      <c r="K152" s="29"/>
      <c r="L152" s="29"/>
      <c r="M152" s="29"/>
      <c r="N152" s="33">
        <f t="shared" si="4"/>
        <v>0</v>
      </c>
      <c r="O152" s="25"/>
      <c r="P152" s="26"/>
      <c r="Q152" s="26"/>
      <c r="R152" s="26"/>
      <c r="S152" s="26"/>
      <c r="T152" s="26"/>
    </row>
    <row r="153">
      <c r="A153" s="45"/>
      <c r="B153" s="46"/>
      <c r="C153" s="46"/>
      <c r="D153" s="43"/>
      <c r="E153" s="43"/>
      <c r="F153" s="46"/>
      <c r="G153" s="46"/>
      <c r="H153" s="47"/>
      <c r="I153" s="43"/>
      <c r="J153" s="47"/>
      <c r="K153" s="43"/>
      <c r="L153" s="43"/>
      <c r="M153" s="43"/>
      <c r="N153" s="41">
        <f t="shared" si="4"/>
        <v>0</v>
      </c>
      <c r="O153" s="25"/>
      <c r="P153" s="26"/>
      <c r="Q153" s="26"/>
      <c r="R153" s="26"/>
      <c r="S153" s="26"/>
      <c r="T153" s="26"/>
    </row>
    <row r="154">
      <c r="A154" s="48"/>
      <c r="B154" s="49"/>
      <c r="C154" s="49"/>
      <c r="D154" s="29"/>
      <c r="E154" s="29"/>
      <c r="F154" s="49"/>
      <c r="G154" s="49"/>
      <c r="H154" s="50"/>
      <c r="I154" s="29"/>
      <c r="J154" s="50"/>
      <c r="K154" s="29"/>
      <c r="L154" s="29"/>
      <c r="M154" s="29"/>
      <c r="N154" s="33">
        <f t="shared" si="4"/>
        <v>0</v>
      </c>
      <c r="O154" s="25"/>
      <c r="P154" s="26"/>
      <c r="Q154" s="26"/>
      <c r="R154" s="26"/>
      <c r="S154" s="26"/>
      <c r="T154" s="26"/>
    </row>
    <row r="155">
      <c r="A155" s="45"/>
      <c r="B155" s="46"/>
      <c r="C155" s="46"/>
      <c r="D155" s="43"/>
      <c r="E155" s="43"/>
      <c r="F155" s="46"/>
      <c r="G155" s="46"/>
      <c r="H155" s="47"/>
      <c r="I155" s="43"/>
      <c r="J155" s="47"/>
      <c r="K155" s="43"/>
      <c r="L155" s="43"/>
      <c r="M155" s="43"/>
      <c r="N155" s="41">
        <f t="shared" si="4"/>
        <v>0</v>
      </c>
      <c r="O155" s="25"/>
      <c r="P155" s="26"/>
      <c r="Q155" s="26"/>
      <c r="R155" s="26"/>
      <c r="S155" s="26"/>
      <c r="T155" s="26"/>
    </row>
    <row r="156">
      <c r="A156" s="48"/>
      <c r="B156" s="49"/>
      <c r="C156" s="49"/>
      <c r="D156" s="29"/>
      <c r="E156" s="29"/>
      <c r="F156" s="49"/>
      <c r="G156" s="49"/>
      <c r="H156" s="50"/>
      <c r="I156" s="29"/>
      <c r="J156" s="50"/>
      <c r="K156" s="29"/>
      <c r="L156" s="29"/>
      <c r="M156" s="29"/>
      <c r="N156" s="33">
        <f t="shared" si="4"/>
        <v>0</v>
      </c>
      <c r="O156" s="25"/>
      <c r="P156" s="26"/>
      <c r="Q156" s="26"/>
      <c r="R156" s="26"/>
      <c r="S156" s="26"/>
      <c r="T156" s="26"/>
    </row>
    <row r="157">
      <c r="A157" s="45"/>
      <c r="B157" s="46"/>
      <c r="C157" s="46"/>
      <c r="D157" s="43"/>
      <c r="E157" s="43"/>
      <c r="F157" s="46"/>
      <c r="G157" s="46"/>
      <c r="H157" s="47"/>
      <c r="I157" s="43"/>
      <c r="J157" s="47"/>
      <c r="K157" s="43"/>
      <c r="L157" s="43"/>
      <c r="M157" s="43"/>
      <c r="N157" s="41">
        <f t="shared" si="4"/>
        <v>0</v>
      </c>
      <c r="O157" s="25"/>
      <c r="P157" s="26"/>
      <c r="Q157" s="26"/>
      <c r="R157" s="26"/>
      <c r="S157" s="26"/>
      <c r="T157" s="26"/>
    </row>
    <row r="158">
      <c r="A158" s="48"/>
      <c r="B158" s="49"/>
      <c r="C158" s="49"/>
      <c r="D158" s="29"/>
      <c r="E158" s="29"/>
      <c r="F158" s="49"/>
      <c r="G158" s="49"/>
      <c r="H158" s="50"/>
      <c r="I158" s="29"/>
      <c r="J158" s="50"/>
      <c r="K158" s="29"/>
      <c r="L158" s="29"/>
      <c r="M158" s="29"/>
      <c r="N158" s="33">
        <f t="shared" si="4"/>
        <v>0</v>
      </c>
      <c r="O158" s="25"/>
      <c r="P158" s="26"/>
      <c r="Q158" s="26"/>
      <c r="R158" s="26"/>
      <c r="S158" s="26"/>
      <c r="T158" s="26"/>
    </row>
    <row r="159">
      <c r="A159" s="45"/>
      <c r="B159" s="46"/>
      <c r="C159" s="46"/>
      <c r="D159" s="43"/>
      <c r="E159" s="43"/>
      <c r="F159" s="46"/>
      <c r="G159" s="46"/>
      <c r="H159" s="47"/>
      <c r="I159" s="43"/>
      <c r="J159" s="47"/>
      <c r="K159" s="43"/>
      <c r="L159" s="43"/>
      <c r="M159" s="43"/>
      <c r="N159" s="41">
        <f t="shared" si="4"/>
        <v>0</v>
      </c>
      <c r="O159" s="25"/>
      <c r="P159" s="26"/>
      <c r="Q159" s="26"/>
      <c r="R159" s="26"/>
      <c r="S159" s="26"/>
      <c r="T159" s="26"/>
    </row>
    <row r="160">
      <c r="A160" s="48"/>
      <c r="B160" s="49"/>
      <c r="C160" s="49"/>
      <c r="D160" s="29"/>
      <c r="E160" s="29"/>
      <c r="F160" s="49"/>
      <c r="G160" s="49"/>
      <c r="H160" s="50"/>
      <c r="I160" s="29"/>
      <c r="J160" s="50"/>
      <c r="K160" s="29"/>
      <c r="L160" s="29"/>
      <c r="M160" s="29"/>
      <c r="N160" s="33">
        <f t="shared" si="4"/>
        <v>0</v>
      </c>
      <c r="O160" s="25"/>
      <c r="P160" s="26"/>
      <c r="Q160" s="26"/>
      <c r="R160" s="26"/>
      <c r="S160" s="26"/>
      <c r="T160" s="26"/>
    </row>
    <row r="161">
      <c r="A161" s="45"/>
      <c r="B161" s="46"/>
      <c r="C161" s="46"/>
      <c r="D161" s="43"/>
      <c r="E161" s="43"/>
      <c r="F161" s="46"/>
      <c r="G161" s="46"/>
      <c r="H161" s="47"/>
      <c r="I161" s="43"/>
      <c r="J161" s="47"/>
      <c r="K161" s="43"/>
      <c r="L161" s="43"/>
      <c r="M161" s="43"/>
      <c r="N161" s="41">
        <f t="shared" si="4"/>
        <v>0</v>
      </c>
      <c r="O161" s="25"/>
      <c r="P161" s="26"/>
      <c r="Q161" s="26"/>
      <c r="R161" s="26"/>
      <c r="S161" s="26"/>
      <c r="T161" s="26"/>
    </row>
    <row r="162">
      <c r="A162" s="48"/>
      <c r="B162" s="49"/>
      <c r="C162" s="49"/>
      <c r="D162" s="29"/>
      <c r="E162" s="29"/>
      <c r="F162" s="49"/>
      <c r="G162" s="49"/>
      <c r="H162" s="50"/>
      <c r="I162" s="29"/>
      <c r="J162" s="50"/>
      <c r="K162" s="29"/>
      <c r="L162" s="29"/>
      <c r="M162" s="29"/>
      <c r="N162" s="33">
        <f t="shared" si="4"/>
        <v>0</v>
      </c>
      <c r="O162" s="25"/>
      <c r="P162" s="26"/>
      <c r="Q162" s="26"/>
      <c r="R162" s="26"/>
      <c r="S162" s="26"/>
      <c r="T162" s="26"/>
    </row>
    <row r="163">
      <c r="A163" s="45"/>
      <c r="B163" s="46"/>
      <c r="C163" s="46"/>
      <c r="D163" s="43"/>
      <c r="E163" s="43"/>
      <c r="F163" s="46"/>
      <c r="G163" s="46"/>
      <c r="H163" s="47"/>
      <c r="I163" s="43"/>
      <c r="J163" s="47"/>
      <c r="K163" s="43"/>
      <c r="L163" s="43"/>
      <c r="M163" s="43"/>
      <c r="N163" s="41">
        <f t="shared" si="4"/>
        <v>0</v>
      </c>
      <c r="O163" s="25"/>
      <c r="P163" s="26"/>
      <c r="Q163" s="26"/>
      <c r="R163" s="26"/>
      <c r="S163" s="26"/>
      <c r="T163" s="26"/>
    </row>
    <row r="164">
      <c r="A164" s="48"/>
      <c r="B164" s="49"/>
      <c r="C164" s="49"/>
      <c r="D164" s="29"/>
      <c r="E164" s="29"/>
      <c r="F164" s="49"/>
      <c r="G164" s="49"/>
      <c r="H164" s="50"/>
      <c r="I164" s="29"/>
      <c r="J164" s="50"/>
      <c r="K164" s="29"/>
      <c r="L164" s="29"/>
      <c r="M164" s="29"/>
      <c r="N164" s="33">
        <f t="shared" si="4"/>
        <v>0</v>
      </c>
      <c r="O164" s="25"/>
      <c r="P164" s="26"/>
      <c r="Q164" s="26"/>
      <c r="R164" s="26"/>
      <c r="S164" s="26"/>
      <c r="T164" s="26"/>
    </row>
    <row r="165">
      <c r="A165" s="45"/>
      <c r="B165" s="46"/>
      <c r="C165" s="46"/>
      <c r="D165" s="43"/>
      <c r="E165" s="43"/>
      <c r="F165" s="46"/>
      <c r="G165" s="46"/>
      <c r="H165" s="47"/>
      <c r="I165" s="43"/>
      <c r="J165" s="47"/>
      <c r="K165" s="43"/>
      <c r="L165" s="43"/>
      <c r="M165" s="43"/>
      <c r="N165" s="41">
        <f t="shared" si="4"/>
        <v>0</v>
      </c>
      <c r="O165" s="25"/>
      <c r="P165" s="26"/>
      <c r="Q165" s="26"/>
      <c r="R165" s="26"/>
      <c r="S165" s="26"/>
      <c r="T165" s="26"/>
    </row>
    <row r="166">
      <c r="A166" s="48"/>
      <c r="B166" s="49"/>
      <c r="C166" s="49"/>
      <c r="D166" s="29"/>
      <c r="E166" s="29"/>
      <c r="F166" s="49"/>
      <c r="G166" s="49"/>
      <c r="H166" s="50"/>
      <c r="I166" s="29"/>
      <c r="J166" s="50"/>
      <c r="K166" s="29"/>
      <c r="L166" s="29"/>
      <c r="M166" s="29"/>
      <c r="N166" s="33">
        <f t="shared" si="4"/>
        <v>0</v>
      </c>
      <c r="O166" s="25"/>
      <c r="P166" s="26"/>
      <c r="Q166" s="26"/>
      <c r="R166" s="26"/>
      <c r="S166" s="26"/>
      <c r="T166" s="26"/>
    </row>
    <row r="167">
      <c r="A167" s="45"/>
      <c r="B167" s="46"/>
      <c r="C167" s="46"/>
      <c r="D167" s="43"/>
      <c r="E167" s="43"/>
      <c r="F167" s="46"/>
      <c r="G167" s="46"/>
      <c r="H167" s="47"/>
      <c r="I167" s="43"/>
      <c r="J167" s="47"/>
      <c r="K167" s="43"/>
      <c r="L167" s="43"/>
      <c r="M167" s="43"/>
      <c r="N167" s="41">
        <f t="shared" si="4"/>
        <v>0</v>
      </c>
      <c r="O167" s="25"/>
      <c r="P167" s="26"/>
      <c r="Q167" s="26"/>
      <c r="R167" s="26"/>
      <c r="S167" s="26"/>
      <c r="T167" s="26"/>
    </row>
    <row r="168">
      <c r="A168" s="48"/>
      <c r="B168" s="49"/>
      <c r="C168" s="49"/>
      <c r="D168" s="29"/>
      <c r="E168" s="29"/>
      <c r="F168" s="49"/>
      <c r="G168" s="49"/>
      <c r="H168" s="50"/>
      <c r="I168" s="29"/>
      <c r="J168" s="50"/>
      <c r="K168" s="29"/>
      <c r="L168" s="29"/>
      <c r="M168" s="29"/>
      <c r="N168" s="33">
        <f t="shared" si="4"/>
        <v>0</v>
      </c>
      <c r="O168" s="25"/>
      <c r="P168" s="26"/>
      <c r="Q168" s="26"/>
      <c r="R168" s="26"/>
      <c r="S168" s="26"/>
      <c r="T168" s="26"/>
    </row>
    <row r="169">
      <c r="A169" s="45"/>
      <c r="B169" s="46"/>
      <c r="C169" s="46"/>
      <c r="D169" s="43"/>
      <c r="E169" s="43"/>
      <c r="F169" s="46"/>
      <c r="G169" s="46"/>
      <c r="H169" s="47"/>
      <c r="I169" s="43"/>
      <c r="J169" s="47"/>
      <c r="K169" s="43"/>
      <c r="L169" s="43"/>
      <c r="M169" s="43"/>
      <c r="N169" s="41">
        <f t="shared" si="4"/>
        <v>0</v>
      </c>
      <c r="O169" s="25"/>
      <c r="P169" s="26"/>
      <c r="Q169" s="26"/>
      <c r="R169" s="26"/>
      <c r="S169" s="26"/>
      <c r="T169" s="26"/>
    </row>
    <row r="170">
      <c r="A170" s="48"/>
      <c r="B170" s="49"/>
      <c r="C170" s="49"/>
      <c r="D170" s="29"/>
      <c r="E170" s="29"/>
      <c r="F170" s="49"/>
      <c r="G170" s="49"/>
      <c r="H170" s="50"/>
      <c r="I170" s="29"/>
      <c r="J170" s="50"/>
      <c r="K170" s="29"/>
      <c r="L170" s="29"/>
      <c r="M170" s="29"/>
      <c r="N170" s="33">
        <f t="shared" si="4"/>
        <v>0</v>
      </c>
      <c r="O170" s="25"/>
      <c r="P170" s="26"/>
      <c r="Q170" s="26"/>
      <c r="R170" s="26"/>
      <c r="S170" s="26"/>
      <c r="T170" s="26"/>
    </row>
    <row r="171">
      <c r="A171" s="45"/>
      <c r="B171" s="46"/>
      <c r="C171" s="46"/>
      <c r="D171" s="43"/>
      <c r="E171" s="43"/>
      <c r="F171" s="46"/>
      <c r="G171" s="46"/>
      <c r="H171" s="47"/>
      <c r="I171" s="43"/>
      <c r="J171" s="47"/>
      <c r="K171" s="43"/>
      <c r="L171" s="43"/>
      <c r="M171" s="43"/>
      <c r="N171" s="41">
        <f t="shared" si="4"/>
        <v>0</v>
      </c>
      <c r="O171" s="25"/>
      <c r="P171" s="26"/>
      <c r="Q171" s="26"/>
      <c r="R171" s="26"/>
      <c r="S171" s="26"/>
      <c r="T171" s="26"/>
    </row>
    <row r="172">
      <c r="A172" s="48"/>
      <c r="B172" s="49"/>
      <c r="C172" s="49"/>
      <c r="D172" s="29"/>
      <c r="E172" s="29"/>
      <c r="F172" s="49"/>
      <c r="G172" s="49"/>
      <c r="H172" s="50"/>
      <c r="I172" s="29"/>
      <c r="J172" s="50"/>
      <c r="K172" s="29"/>
      <c r="L172" s="29"/>
      <c r="M172" s="29"/>
      <c r="N172" s="33">
        <f t="shared" si="4"/>
        <v>0</v>
      </c>
      <c r="O172" s="25"/>
      <c r="P172" s="26"/>
      <c r="Q172" s="26"/>
      <c r="R172" s="26"/>
      <c r="S172" s="26"/>
      <c r="T172" s="26"/>
    </row>
    <row r="173">
      <c r="A173" s="45"/>
      <c r="B173" s="46"/>
      <c r="C173" s="46"/>
      <c r="D173" s="43"/>
      <c r="E173" s="43"/>
      <c r="F173" s="46"/>
      <c r="G173" s="46"/>
      <c r="H173" s="47"/>
      <c r="I173" s="43"/>
      <c r="J173" s="47"/>
      <c r="K173" s="43"/>
      <c r="L173" s="43"/>
      <c r="M173" s="43"/>
      <c r="N173" s="41">
        <f t="shared" si="4"/>
        <v>0</v>
      </c>
      <c r="O173" s="25"/>
      <c r="P173" s="26"/>
      <c r="Q173" s="26"/>
      <c r="R173" s="26"/>
      <c r="S173" s="26"/>
      <c r="T173" s="26"/>
    </row>
    <row r="174">
      <c r="A174" s="48"/>
      <c r="B174" s="49"/>
      <c r="C174" s="49"/>
      <c r="D174" s="29"/>
      <c r="E174" s="29"/>
      <c r="F174" s="49"/>
      <c r="G174" s="49"/>
      <c r="H174" s="50"/>
      <c r="I174" s="29"/>
      <c r="J174" s="50"/>
      <c r="K174" s="29"/>
      <c r="L174" s="29"/>
      <c r="M174" s="29"/>
      <c r="N174" s="33">
        <f t="shared" si="4"/>
        <v>0</v>
      </c>
      <c r="O174" s="25"/>
      <c r="P174" s="26"/>
      <c r="Q174" s="26"/>
      <c r="R174" s="26"/>
      <c r="S174" s="26"/>
      <c r="T174" s="26"/>
    </row>
    <row r="175">
      <c r="A175" s="45"/>
      <c r="B175" s="46"/>
      <c r="C175" s="46"/>
      <c r="D175" s="43"/>
      <c r="E175" s="43"/>
      <c r="F175" s="46"/>
      <c r="G175" s="46"/>
      <c r="H175" s="47"/>
      <c r="I175" s="43"/>
      <c r="J175" s="47"/>
      <c r="K175" s="43"/>
      <c r="L175" s="43"/>
      <c r="M175" s="43"/>
      <c r="N175" s="41">
        <f t="shared" si="4"/>
        <v>0</v>
      </c>
      <c r="O175" s="25"/>
      <c r="P175" s="26"/>
      <c r="Q175" s="26"/>
      <c r="R175" s="26"/>
      <c r="S175" s="26"/>
      <c r="T175" s="26"/>
    </row>
    <row r="176">
      <c r="A176" s="48"/>
      <c r="B176" s="49"/>
      <c r="C176" s="49"/>
      <c r="D176" s="29"/>
      <c r="E176" s="29"/>
      <c r="F176" s="49"/>
      <c r="G176" s="49"/>
      <c r="H176" s="50"/>
      <c r="I176" s="29"/>
      <c r="J176" s="50"/>
      <c r="K176" s="29"/>
      <c r="L176" s="29"/>
      <c r="M176" s="29"/>
      <c r="N176" s="33">
        <f t="shared" si="4"/>
        <v>0</v>
      </c>
      <c r="O176" s="25"/>
      <c r="P176" s="26"/>
      <c r="Q176" s="26"/>
      <c r="R176" s="26"/>
      <c r="S176" s="26"/>
      <c r="T176" s="26"/>
    </row>
    <row r="177">
      <c r="A177" s="45"/>
      <c r="B177" s="46"/>
      <c r="C177" s="46"/>
      <c r="D177" s="43"/>
      <c r="E177" s="43"/>
      <c r="F177" s="46"/>
      <c r="G177" s="46"/>
      <c r="H177" s="47"/>
      <c r="I177" s="43"/>
      <c r="J177" s="47"/>
      <c r="K177" s="43"/>
      <c r="L177" s="43"/>
      <c r="M177" s="43"/>
      <c r="N177" s="41">
        <f t="shared" si="4"/>
        <v>0</v>
      </c>
      <c r="O177" s="25"/>
      <c r="P177" s="26"/>
      <c r="Q177" s="26"/>
      <c r="R177" s="26"/>
      <c r="S177" s="26"/>
      <c r="T177" s="26"/>
    </row>
    <row r="178">
      <c r="A178" s="48"/>
      <c r="B178" s="49"/>
      <c r="C178" s="49"/>
      <c r="D178" s="29"/>
      <c r="E178" s="29"/>
      <c r="F178" s="49"/>
      <c r="G178" s="49"/>
      <c r="H178" s="50"/>
      <c r="I178" s="29"/>
      <c r="J178" s="50"/>
      <c r="K178" s="29"/>
      <c r="L178" s="29"/>
      <c r="M178" s="29"/>
      <c r="N178" s="33">
        <f t="shared" si="4"/>
        <v>0</v>
      </c>
      <c r="O178" s="25"/>
      <c r="P178" s="26"/>
      <c r="Q178" s="26"/>
      <c r="R178" s="26"/>
      <c r="S178" s="26"/>
      <c r="T178" s="26"/>
    </row>
    <row r="179">
      <c r="A179" s="45"/>
      <c r="B179" s="46"/>
      <c r="C179" s="46"/>
      <c r="D179" s="43"/>
      <c r="E179" s="43"/>
      <c r="F179" s="46"/>
      <c r="G179" s="46"/>
      <c r="H179" s="47"/>
      <c r="I179" s="43"/>
      <c r="J179" s="47"/>
      <c r="K179" s="43"/>
      <c r="L179" s="43"/>
      <c r="M179" s="43"/>
      <c r="N179" s="41">
        <f t="shared" si="4"/>
        <v>0</v>
      </c>
      <c r="O179" s="25"/>
      <c r="P179" s="26"/>
      <c r="Q179" s="26"/>
      <c r="R179" s="26"/>
      <c r="S179" s="26"/>
      <c r="T179" s="26"/>
    </row>
    <row r="180">
      <c r="A180" s="48"/>
      <c r="B180" s="49"/>
      <c r="C180" s="49"/>
      <c r="D180" s="29"/>
      <c r="E180" s="29"/>
      <c r="F180" s="49"/>
      <c r="G180" s="49"/>
      <c r="H180" s="50"/>
      <c r="I180" s="29"/>
      <c r="J180" s="50"/>
      <c r="K180" s="29"/>
      <c r="L180" s="29"/>
      <c r="M180" s="29"/>
      <c r="N180" s="33">
        <f t="shared" si="4"/>
        <v>0</v>
      </c>
      <c r="O180" s="25"/>
      <c r="P180" s="26"/>
      <c r="Q180" s="26"/>
      <c r="R180" s="26"/>
      <c r="S180" s="26"/>
      <c r="T180" s="26"/>
    </row>
    <row r="181">
      <c r="A181" s="45"/>
      <c r="B181" s="46"/>
      <c r="C181" s="46"/>
      <c r="D181" s="43"/>
      <c r="E181" s="43"/>
      <c r="F181" s="46"/>
      <c r="G181" s="46"/>
      <c r="H181" s="47"/>
      <c r="I181" s="43"/>
      <c r="J181" s="47"/>
      <c r="K181" s="43"/>
      <c r="L181" s="43"/>
      <c r="M181" s="43"/>
      <c r="N181" s="41">
        <f t="shared" si="4"/>
        <v>0</v>
      </c>
      <c r="O181" s="25"/>
      <c r="P181" s="26"/>
      <c r="Q181" s="26"/>
      <c r="R181" s="26"/>
      <c r="S181" s="26"/>
      <c r="T181" s="26"/>
    </row>
    <row r="182">
      <c r="A182" s="48"/>
      <c r="B182" s="49"/>
      <c r="C182" s="49"/>
      <c r="D182" s="29"/>
      <c r="E182" s="29"/>
      <c r="F182" s="49"/>
      <c r="G182" s="49"/>
      <c r="H182" s="50"/>
      <c r="I182" s="29"/>
      <c r="J182" s="50"/>
      <c r="K182" s="29"/>
      <c r="L182" s="29"/>
      <c r="M182" s="29"/>
      <c r="N182" s="33">
        <f t="shared" si="4"/>
        <v>0</v>
      </c>
      <c r="O182" s="25"/>
      <c r="P182" s="26"/>
      <c r="Q182" s="26"/>
      <c r="R182" s="26"/>
      <c r="S182" s="26"/>
      <c r="T182" s="26"/>
    </row>
    <row r="183">
      <c r="A183" s="45"/>
      <c r="B183" s="46"/>
      <c r="C183" s="46"/>
      <c r="D183" s="43"/>
      <c r="E183" s="43"/>
      <c r="F183" s="46"/>
      <c r="G183" s="46"/>
      <c r="H183" s="47"/>
      <c r="I183" s="43"/>
      <c r="J183" s="47"/>
      <c r="K183" s="43"/>
      <c r="L183" s="43"/>
      <c r="M183" s="43"/>
      <c r="N183" s="41">
        <f t="shared" si="4"/>
        <v>0</v>
      </c>
      <c r="O183" s="25"/>
      <c r="P183" s="26"/>
      <c r="Q183" s="26"/>
      <c r="R183" s="26"/>
      <c r="S183" s="26"/>
      <c r="T183" s="26"/>
    </row>
    <row r="184">
      <c r="A184" s="48"/>
      <c r="B184" s="49"/>
      <c r="C184" s="49"/>
      <c r="D184" s="29"/>
      <c r="E184" s="29"/>
      <c r="F184" s="49"/>
      <c r="G184" s="49"/>
      <c r="H184" s="50"/>
      <c r="I184" s="29"/>
      <c r="J184" s="50"/>
      <c r="K184" s="29"/>
      <c r="L184" s="29"/>
      <c r="M184" s="29"/>
      <c r="N184" s="33">
        <f t="shared" si="4"/>
        <v>0</v>
      </c>
      <c r="O184" s="25"/>
      <c r="P184" s="26"/>
      <c r="Q184" s="26"/>
      <c r="R184" s="26"/>
      <c r="S184" s="26"/>
      <c r="T184" s="26"/>
    </row>
    <row r="185">
      <c r="A185" s="45"/>
      <c r="B185" s="46"/>
      <c r="C185" s="46"/>
      <c r="D185" s="43"/>
      <c r="E185" s="43"/>
      <c r="F185" s="46"/>
      <c r="G185" s="46"/>
      <c r="H185" s="47"/>
      <c r="I185" s="43"/>
      <c r="J185" s="47"/>
      <c r="K185" s="43"/>
      <c r="L185" s="43"/>
      <c r="M185" s="43"/>
      <c r="N185" s="41">
        <f t="shared" si="4"/>
        <v>0</v>
      </c>
      <c r="O185" s="25"/>
      <c r="P185" s="26"/>
      <c r="Q185" s="26"/>
      <c r="R185" s="26"/>
      <c r="S185" s="26"/>
      <c r="T185" s="26"/>
    </row>
    <row r="186">
      <c r="A186" s="48"/>
      <c r="B186" s="49"/>
      <c r="C186" s="49"/>
      <c r="D186" s="29"/>
      <c r="E186" s="29"/>
      <c r="F186" s="49"/>
      <c r="G186" s="49"/>
      <c r="H186" s="50"/>
      <c r="I186" s="29"/>
      <c r="J186" s="50"/>
      <c r="K186" s="29"/>
      <c r="L186" s="29"/>
      <c r="M186" s="29"/>
      <c r="N186" s="33">
        <f t="shared" si="4"/>
        <v>0</v>
      </c>
      <c r="O186" s="25"/>
      <c r="P186" s="26"/>
      <c r="Q186" s="26"/>
      <c r="R186" s="26"/>
      <c r="S186" s="26"/>
      <c r="T186" s="26"/>
    </row>
    <row r="187">
      <c r="A187" s="45"/>
      <c r="B187" s="46"/>
      <c r="C187" s="46"/>
      <c r="D187" s="43"/>
      <c r="E187" s="43"/>
      <c r="F187" s="46"/>
      <c r="G187" s="46"/>
      <c r="H187" s="47"/>
      <c r="I187" s="43"/>
      <c r="J187" s="47"/>
      <c r="K187" s="43"/>
      <c r="L187" s="43"/>
      <c r="M187" s="43"/>
      <c r="N187" s="41">
        <f t="shared" si="4"/>
        <v>0</v>
      </c>
      <c r="O187" s="25"/>
      <c r="P187" s="26"/>
      <c r="Q187" s="26"/>
      <c r="R187" s="26"/>
      <c r="S187" s="26"/>
      <c r="T187" s="26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autoFilter ref="$A$1:$Z$974"/>
  <dataValidations>
    <dataValidation type="list" allowBlank="1" sqref="H2:H187">
      <formula1>'PH-Phases'!$A$2:$A974</formula1>
    </dataValidation>
    <dataValidation type="list" allowBlank="1" sqref="J2:J187">
      <formula1>"Very Low,Low,Medium,High,Very High"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7" width="17.38"/>
    <col customWidth="1" min="8" max="8" width="19.13"/>
    <col customWidth="1" min="9" max="9" width="37.75"/>
    <col customWidth="1" min="10" max="10" width="18.88"/>
    <col customWidth="1" min="11" max="11" width="33.38"/>
    <col customWidth="1" min="12" max="12" width="15.0"/>
    <col customWidth="1" min="13" max="13" width="37.63"/>
    <col customWidth="1" min="14" max="14" width="17.75"/>
  </cols>
  <sheetData>
    <row r="1">
      <c r="A1" s="17" t="s">
        <v>228</v>
      </c>
      <c r="B1" s="17" t="s">
        <v>21</v>
      </c>
      <c r="C1" s="17" t="s">
        <v>22</v>
      </c>
      <c r="D1" s="17" t="s">
        <v>23</v>
      </c>
      <c r="E1" s="17" t="s">
        <v>20</v>
      </c>
      <c r="F1" s="17" t="s">
        <v>92</v>
      </c>
      <c r="G1" s="17" t="s">
        <v>194</v>
      </c>
      <c r="H1" s="17" t="s">
        <v>324</v>
      </c>
      <c r="I1" s="17" t="s">
        <v>25</v>
      </c>
      <c r="J1" s="17" t="s">
        <v>94</v>
      </c>
      <c r="K1" s="17" t="s">
        <v>325</v>
      </c>
      <c r="L1" s="17" t="s">
        <v>326</v>
      </c>
      <c r="M1" s="17" t="s">
        <v>327</v>
      </c>
      <c r="N1" s="17" t="s">
        <v>27</v>
      </c>
      <c r="O1" s="51" t="s">
        <v>28</v>
      </c>
      <c r="P1" s="51" t="s">
        <v>29</v>
      </c>
      <c r="Q1" s="52" t="s">
        <v>328</v>
      </c>
      <c r="R1" s="52" t="s">
        <v>329</v>
      </c>
      <c r="S1" s="19"/>
      <c r="T1" s="19"/>
      <c r="U1" s="19"/>
      <c r="V1" s="19"/>
      <c r="W1" s="19"/>
      <c r="X1" s="19"/>
      <c r="Y1" s="19"/>
      <c r="Z1" s="19"/>
      <c r="AA1" s="19"/>
    </row>
    <row r="2">
      <c r="A2" s="3" t="s">
        <v>241</v>
      </c>
      <c r="B2" s="3" t="s">
        <v>124</v>
      </c>
      <c r="C2" s="3" t="s">
        <v>35</v>
      </c>
      <c r="D2" s="3" t="s">
        <v>5</v>
      </c>
      <c r="E2" s="3" t="s">
        <v>33</v>
      </c>
      <c r="F2" s="3" t="s">
        <v>123</v>
      </c>
      <c r="G2" s="13"/>
      <c r="H2" s="3" t="s">
        <v>201</v>
      </c>
      <c r="I2" s="3" t="s">
        <v>125</v>
      </c>
      <c r="J2" s="3" t="s">
        <v>127</v>
      </c>
      <c r="K2" s="3" t="s">
        <v>330</v>
      </c>
      <c r="L2" s="3" t="s">
        <v>331</v>
      </c>
      <c r="M2" s="3" t="s">
        <v>332</v>
      </c>
      <c r="N2" s="10"/>
      <c r="O2" s="12" t="s">
        <v>39</v>
      </c>
      <c r="P2" s="12">
        <v>3.0</v>
      </c>
      <c r="Q2" s="12">
        <v>4.0</v>
      </c>
      <c r="R2" s="2">
        <f t="shared" ref="R2:R84" si="1">Q2*0.2</f>
        <v>0.8</v>
      </c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242</v>
      </c>
      <c r="B3" s="3" t="s">
        <v>124</v>
      </c>
      <c r="C3" s="3" t="s">
        <v>35</v>
      </c>
      <c r="D3" s="3" t="s">
        <v>5</v>
      </c>
      <c r="E3" s="3" t="s">
        <v>33</v>
      </c>
      <c r="F3" s="3" t="s">
        <v>123</v>
      </c>
      <c r="G3" s="13"/>
      <c r="H3" s="3" t="s">
        <v>201</v>
      </c>
      <c r="I3" s="3" t="s">
        <v>125</v>
      </c>
      <c r="J3" s="3" t="s">
        <v>127</v>
      </c>
      <c r="K3" s="3" t="s">
        <v>333</v>
      </c>
      <c r="L3" s="3" t="s">
        <v>331</v>
      </c>
      <c r="M3" s="3" t="s">
        <v>334</v>
      </c>
      <c r="N3" s="10"/>
      <c r="O3" s="12" t="s">
        <v>39</v>
      </c>
      <c r="P3" s="12">
        <v>3.0</v>
      </c>
      <c r="Q3" s="12">
        <v>4.0</v>
      </c>
      <c r="R3" s="2">
        <f t="shared" si="1"/>
        <v>0.8</v>
      </c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243</v>
      </c>
      <c r="B4" s="3" t="s">
        <v>124</v>
      </c>
      <c r="C4" s="3" t="s">
        <v>35</v>
      </c>
      <c r="D4" s="3" t="s">
        <v>5</v>
      </c>
      <c r="E4" s="3" t="s">
        <v>33</v>
      </c>
      <c r="F4" s="3" t="s">
        <v>123</v>
      </c>
      <c r="G4" s="13"/>
      <c r="H4" s="3" t="s">
        <v>208</v>
      </c>
      <c r="I4" s="3" t="s">
        <v>125</v>
      </c>
      <c r="J4" s="3" t="s">
        <v>127</v>
      </c>
      <c r="K4" s="3" t="s">
        <v>335</v>
      </c>
      <c r="L4" s="3" t="s">
        <v>331</v>
      </c>
      <c r="M4" s="3" t="s">
        <v>336</v>
      </c>
      <c r="N4" s="10"/>
      <c r="O4" s="12" t="s">
        <v>39</v>
      </c>
      <c r="P4" s="12">
        <v>3.0</v>
      </c>
      <c r="Q4" s="12">
        <v>4.0</v>
      </c>
      <c r="R4" s="2">
        <f t="shared" si="1"/>
        <v>0.8</v>
      </c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244</v>
      </c>
      <c r="B5" s="3" t="s">
        <v>130</v>
      </c>
      <c r="C5" s="3" t="s">
        <v>35</v>
      </c>
      <c r="D5" s="3" t="s">
        <v>5</v>
      </c>
      <c r="E5" s="3" t="s">
        <v>33</v>
      </c>
      <c r="F5" s="3" t="s">
        <v>129</v>
      </c>
      <c r="G5" s="13"/>
      <c r="H5" s="3" t="s">
        <v>222</v>
      </c>
      <c r="I5" s="3" t="s">
        <v>125</v>
      </c>
      <c r="J5" s="3" t="s">
        <v>131</v>
      </c>
      <c r="K5" s="3" t="s">
        <v>337</v>
      </c>
      <c r="L5" s="3" t="s">
        <v>331</v>
      </c>
      <c r="M5" s="3" t="s">
        <v>338</v>
      </c>
      <c r="N5" s="10"/>
      <c r="O5" s="12" t="s">
        <v>39</v>
      </c>
      <c r="P5" s="12">
        <v>3.0</v>
      </c>
      <c r="Q5" s="15"/>
      <c r="R5" s="2">
        <f t="shared" si="1"/>
        <v>0</v>
      </c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245</v>
      </c>
      <c r="B6" s="3" t="s">
        <v>130</v>
      </c>
      <c r="C6" s="3" t="s">
        <v>35</v>
      </c>
      <c r="D6" s="3" t="s">
        <v>5</v>
      </c>
      <c r="E6" s="3" t="s">
        <v>33</v>
      </c>
      <c r="F6" s="3" t="s">
        <v>129</v>
      </c>
      <c r="G6" s="13"/>
      <c r="H6" s="3" t="s">
        <v>222</v>
      </c>
      <c r="I6" s="3" t="s">
        <v>125</v>
      </c>
      <c r="J6" s="3" t="s">
        <v>131</v>
      </c>
      <c r="K6" s="3" t="s">
        <v>339</v>
      </c>
      <c r="L6" s="3" t="s">
        <v>331</v>
      </c>
      <c r="M6" s="3" t="s">
        <v>340</v>
      </c>
      <c r="N6" s="10"/>
      <c r="O6" s="12" t="s">
        <v>39</v>
      </c>
      <c r="P6" s="12">
        <v>3.0</v>
      </c>
      <c r="Q6" s="15"/>
      <c r="R6" s="2">
        <f t="shared" si="1"/>
        <v>0</v>
      </c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246</v>
      </c>
      <c r="B7" s="3" t="s">
        <v>130</v>
      </c>
      <c r="C7" s="3" t="s">
        <v>35</v>
      </c>
      <c r="D7" s="3" t="s">
        <v>5</v>
      </c>
      <c r="E7" s="3" t="s">
        <v>33</v>
      </c>
      <c r="F7" s="3" t="s">
        <v>129</v>
      </c>
      <c r="G7" s="13"/>
      <c r="H7" s="3" t="s">
        <v>222</v>
      </c>
      <c r="I7" s="3" t="s">
        <v>125</v>
      </c>
      <c r="J7" s="3" t="s">
        <v>131</v>
      </c>
      <c r="K7" s="3" t="s">
        <v>341</v>
      </c>
      <c r="L7" s="3" t="s">
        <v>331</v>
      </c>
      <c r="M7" s="11" t="s">
        <v>342</v>
      </c>
      <c r="N7" s="10"/>
      <c r="O7" s="12" t="s">
        <v>39</v>
      </c>
      <c r="P7" s="12">
        <v>3.0</v>
      </c>
      <c r="Q7" s="2"/>
      <c r="R7" s="2">
        <f t="shared" si="1"/>
        <v>0</v>
      </c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247</v>
      </c>
      <c r="B8" s="3" t="s">
        <v>134</v>
      </c>
      <c r="C8" s="3" t="s">
        <v>35</v>
      </c>
      <c r="D8" s="3" t="s">
        <v>5</v>
      </c>
      <c r="E8" s="3" t="s">
        <v>33</v>
      </c>
      <c r="F8" s="3" t="s">
        <v>133</v>
      </c>
      <c r="G8" s="13"/>
      <c r="H8" s="3" t="s">
        <v>222</v>
      </c>
      <c r="I8" s="3" t="s">
        <v>125</v>
      </c>
      <c r="J8" s="3" t="s">
        <v>135</v>
      </c>
      <c r="K8" s="3" t="s">
        <v>343</v>
      </c>
      <c r="L8" s="3" t="s">
        <v>331</v>
      </c>
      <c r="M8" s="11" t="s">
        <v>344</v>
      </c>
      <c r="N8" s="10"/>
      <c r="O8" s="12" t="s">
        <v>39</v>
      </c>
      <c r="P8" s="12">
        <v>3.0</v>
      </c>
      <c r="Q8" s="2"/>
      <c r="R8" s="2">
        <f t="shared" si="1"/>
        <v>0</v>
      </c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248</v>
      </c>
      <c r="B9" s="3" t="s">
        <v>134</v>
      </c>
      <c r="C9" s="3" t="s">
        <v>35</v>
      </c>
      <c r="D9" s="3" t="s">
        <v>5</v>
      </c>
      <c r="E9" s="3" t="s">
        <v>33</v>
      </c>
      <c r="F9" s="3" t="s">
        <v>133</v>
      </c>
      <c r="G9" s="13"/>
      <c r="H9" s="3" t="s">
        <v>208</v>
      </c>
      <c r="I9" s="3" t="s">
        <v>125</v>
      </c>
      <c r="J9" s="3" t="s">
        <v>135</v>
      </c>
      <c r="K9" s="3" t="s">
        <v>345</v>
      </c>
      <c r="L9" s="3" t="s">
        <v>331</v>
      </c>
      <c r="M9" s="11" t="s">
        <v>346</v>
      </c>
      <c r="N9" s="10"/>
      <c r="O9" s="12" t="s">
        <v>39</v>
      </c>
      <c r="P9" s="12">
        <v>3.0</v>
      </c>
      <c r="Q9" s="2"/>
      <c r="R9" s="2">
        <f t="shared" si="1"/>
        <v>0</v>
      </c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249</v>
      </c>
      <c r="B10" s="3" t="s">
        <v>134</v>
      </c>
      <c r="C10" s="3" t="s">
        <v>35</v>
      </c>
      <c r="D10" s="3" t="s">
        <v>5</v>
      </c>
      <c r="E10" s="3" t="s">
        <v>33</v>
      </c>
      <c r="F10" s="3" t="s">
        <v>133</v>
      </c>
      <c r="G10" s="13"/>
      <c r="H10" s="3" t="s">
        <v>222</v>
      </c>
      <c r="I10" s="3" t="s">
        <v>125</v>
      </c>
      <c r="J10" s="3" t="s">
        <v>135</v>
      </c>
      <c r="K10" s="3" t="s">
        <v>347</v>
      </c>
      <c r="L10" s="3" t="s">
        <v>331</v>
      </c>
      <c r="M10" s="11" t="s">
        <v>348</v>
      </c>
      <c r="N10" s="10"/>
      <c r="O10" s="12" t="s">
        <v>39</v>
      </c>
      <c r="P10" s="12">
        <v>3.0</v>
      </c>
      <c r="Q10" s="2"/>
      <c r="R10" s="2">
        <f t="shared" si="1"/>
        <v>0</v>
      </c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250</v>
      </c>
      <c r="B11" s="3" t="s">
        <v>138</v>
      </c>
      <c r="C11" s="3" t="s">
        <v>35</v>
      </c>
      <c r="D11" s="3" t="s">
        <v>5</v>
      </c>
      <c r="E11" s="3" t="s">
        <v>40</v>
      </c>
      <c r="F11" s="3" t="s">
        <v>137</v>
      </c>
      <c r="G11" s="13"/>
      <c r="H11" s="3" t="s">
        <v>208</v>
      </c>
      <c r="I11" s="3" t="s">
        <v>42</v>
      </c>
      <c r="J11" s="3" t="s">
        <v>139</v>
      </c>
      <c r="K11" s="3" t="s">
        <v>349</v>
      </c>
      <c r="L11" s="3" t="s">
        <v>331</v>
      </c>
      <c r="M11" s="11" t="s">
        <v>350</v>
      </c>
      <c r="N11" s="10"/>
      <c r="O11" s="12" t="s">
        <v>39</v>
      </c>
      <c r="P11" s="12">
        <v>3.0</v>
      </c>
      <c r="Q11" s="2"/>
      <c r="R11" s="2">
        <f t="shared" si="1"/>
        <v>0</v>
      </c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251</v>
      </c>
      <c r="B12" s="3" t="s">
        <v>138</v>
      </c>
      <c r="C12" s="3" t="s">
        <v>35</v>
      </c>
      <c r="D12" s="3" t="s">
        <v>5</v>
      </c>
      <c r="E12" s="3" t="s">
        <v>40</v>
      </c>
      <c r="F12" s="3" t="s">
        <v>137</v>
      </c>
      <c r="G12" s="13"/>
      <c r="H12" s="3" t="s">
        <v>215</v>
      </c>
      <c r="I12" s="3" t="s">
        <v>42</v>
      </c>
      <c r="J12" s="3" t="s">
        <v>139</v>
      </c>
      <c r="K12" s="3" t="s">
        <v>351</v>
      </c>
      <c r="L12" s="3" t="s">
        <v>331</v>
      </c>
      <c r="M12" s="11" t="s">
        <v>352</v>
      </c>
      <c r="N12" s="10"/>
      <c r="O12" s="12" t="s">
        <v>39</v>
      </c>
      <c r="P12" s="12">
        <v>3.0</v>
      </c>
      <c r="Q12" s="2"/>
      <c r="R12" s="2">
        <f t="shared" si="1"/>
        <v>0</v>
      </c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252</v>
      </c>
      <c r="B13" s="3" t="s">
        <v>138</v>
      </c>
      <c r="C13" s="3" t="s">
        <v>35</v>
      </c>
      <c r="D13" s="3" t="s">
        <v>5</v>
      </c>
      <c r="E13" s="3" t="s">
        <v>40</v>
      </c>
      <c r="F13" s="3" t="s">
        <v>137</v>
      </c>
      <c r="G13" s="13"/>
      <c r="H13" s="3" t="s">
        <v>215</v>
      </c>
      <c r="I13" s="3" t="s">
        <v>42</v>
      </c>
      <c r="J13" s="3" t="s">
        <v>139</v>
      </c>
      <c r="K13" s="3" t="s">
        <v>353</v>
      </c>
      <c r="L13" s="3" t="s">
        <v>331</v>
      </c>
      <c r="M13" s="11" t="s">
        <v>354</v>
      </c>
      <c r="N13" s="10"/>
      <c r="O13" s="12" t="s">
        <v>39</v>
      </c>
      <c r="P13" s="12">
        <v>3.0</v>
      </c>
      <c r="Q13" s="2"/>
      <c r="R13" s="2">
        <f t="shared" si="1"/>
        <v>0</v>
      </c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253</v>
      </c>
      <c r="B14" s="3" t="s">
        <v>142</v>
      </c>
      <c r="C14" s="3" t="s">
        <v>35</v>
      </c>
      <c r="D14" s="3" t="s">
        <v>5</v>
      </c>
      <c r="E14" s="3" t="s">
        <v>40</v>
      </c>
      <c r="F14" s="3" t="s">
        <v>141</v>
      </c>
      <c r="G14" s="13"/>
      <c r="H14" s="3" t="s">
        <v>208</v>
      </c>
      <c r="I14" s="3" t="s">
        <v>42</v>
      </c>
      <c r="J14" s="3" t="s">
        <v>143</v>
      </c>
      <c r="K14" s="3" t="s">
        <v>355</v>
      </c>
      <c r="L14" s="3" t="s">
        <v>331</v>
      </c>
      <c r="M14" s="11" t="s">
        <v>356</v>
      </c>
      <c r="N14" s="10"/>
      <c r="O14" s="12" t="s">
        <v>39</v>
      </c>
      <c r="P14" s="12">
        <v>3.0</v>
      </c>
      <c r="Q14" s="2"/>
      <c r="R14" s="2">
        <f t="shared" si="1"/>
        <v>0</v>
      </c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254</v>
      </c>
      <c r="B15" s="3" t="s">
        <v>142</v>
      </c>
      <c r="C15" s="3" t="s">
        <v>35</v>
      </c>
      <c r="D15" s="3" t="s">
        <v>5</v>
      </c>
      <c r="E15" s="3" t="s">
        <v>40</v>
      </c>
      <c r="F15" s="3" t="s">
        <v>141</v>
      </c>
      <c r="G15" s="13"/>
      <c r="H15" s="3" t="s">
        <v>208</v>
      </c>
      <c r="I15" s="3" t="s">
        <v>42</v>
      </c>
      <c r="J15" s="3" t="s">
        <v>143</v>
      </c>
      <c r="K15" s="3" t="s">
        <v>357</v>
      </c>
      <c r="L15" s="3" t="s">
        <v>331</v>
      </c>
      <c r="M15" s="11" t="s">
        <v>358</v>
      </c>
      <c r="N15" s="10"/>
      <c r="O15" s="12" t="s">
        <v>39</v>
      </c>
      <c r="P15" s="12">
        <v>3.0</v>
      </c>
      <c r="Q15" s="2"/>
      <c r="R15" s="2">
        <f t="shared" si="1"/>
        <v>0</v>
      </c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255</v>
      </c>
      <c r="B16" s="3" t="s">
        <v>142</v>
      </c>
      <c r="C16" s="3" t="s">
        <v>35</v>
      </c>
      <c r="D16" s="3" t="s">
        <v>5</v>
      </c>
      <c r="E16" s="3" t="s">
        <v>40</v>
      </c>
      <c r="F16" s="3" t="s">
        <v>141</v>
      </c>
      <c r="G16" s="13"/>
      <c r="H16" s="3" t="s">
        <v>222</v>
      </c>
      <c r="I16" s="3" t="s">
        <v>42</v>
      </c>
      <c r="J16" s="3" t="s">
        <v>143</v>
      </c>
      <c r="K16" s="3" t="s">
        <v>359</v>
      </c>
      <c r="L16" s="3" t="s">
        <v>331</v>
      </c>
      <c r="M16" s="11" t="s">
        <v>360</v>
      </c>
      <c r="N16" s="10"/>
      <c r="O16" s="12" t="s">
        <v>39</v>
      </c>
      <c r="P16" s="12">
        <v>3.0</v>
      </c>
      <c r="Q16" s="2"/>
      <c r="R16" s="2">
        <f t="shared" si="1"/>
        <v>0</v>
      </c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256</v>
      </c>
      <c r="B17" s="3" t="s">
        <v>146</v>
      </c>
      <c r="C17" s="3" t="s">
        <v>35</v>
      </c>
      <c r="D17" s="3" t="s">
        <v>5</v>
      </c>
      <c r="E17" s="3" t="s">
        <v>40</v>
      </c>
      <c r="F17" s="3" t="s">
        <v>145</v>
      </c>
      <c r="G17" s="13"/>
      <c r="H17" s="3" t="s">
        <v>208</v>
      </c>
      <c r="I17" s="3" t="s">
        <v>42</v>
      </c>
      <c r="J17" s="3" t="s">
        <v>147</v>
      </c>
      <c r="K17" s="3" t="s">
        <v>361</v>
      </c>
      <c r="L17" s="3" t="s">
        <v>331</v>
      </c>
      <c r="M17" s="11" t="s">
        <v>362</v>
      </c>
      <c r="N17" s="10"/>
      <c r="O17" s="12" t="s">
        <v>39</v>
      </c>
      <c r="P17" s="12">
        <v>3.0</v>
      </c>
      <c r="Q17" s="2"/>
      <c r="R17" s="2">
        <f t="shared" si="1"/>
        <v>0</v>
      </c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">
        <v>257</v>
      </c>
      <c r="B18" s="3" t="s">
        <v>146</v>
      </c>
      <c r="C18" s="3" t="s">
        <v>35</v>
      </c>
      <c r="D18" s="3" t="s">
        <v>5</v>
      </c>
      <c r="E18" s="3" t="s">
        <v>40</v>
      </c>
      <c r="F18" s="3" t="s">
        <v>145</v>
      </c>
      <c r="G18" s="13"/>
      <c r="H18" s="3" t="s">
        <v>208</v>
      </c>
      <c r="I18" s="3" t="s">
        <v>42</v>
      </c>
      <c r="J18" s="3" t="s">
        <v>147</v>
      </c>
      <c r="K18" s="3" t="s">
        <v>363</v>
      </c>
      <c r="L18" s="3" t="s">
        <v>331</v>
      </c>
      <c r="M18" s="11" t="s">
        <v>364</v>
      </c>
      <c r="N18" s="10"/>
      <c r="O18" s="12" t="s">
        <v>39</v>
      </c>
      <c r="P18" s="12">
        <v>3.0</v>
      </c>
      <c r="Q18" s="2"/>
      <c r="R18" s="2">
        <f t="shared" si="1"/>
        <v>0</v>
      </c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258</v>
      </c>
      <c r="B19" s="3" t="s">
        <v>146</v>
      </c>
      <c r="C19" s="3" t="s">
        <v>35</v>
      </c>
      <c r="D19" s="3" t="s">
        <v>5</v>
      </c>
      <c r="E19" s="3" t="s">
        <v>40</v>
      </c>
      <c r="F19" s="3" t="s">
        <v>145</v>
      </c>
      <c r="G19" s="13"/>
      <c r="H19" s="3" t="s">
        <v>208</v>
      </c>
      <c r="I19" s="3" t="s">
        <v>42</v>
      </c>
      <c r="J19" s="3" t="s">
        <v>147</v>
      </c>
      <c r="K19" s="3" t="s">
        <v>365</v>
      </c>
      <c r="L19" s="3" t="s">
        <v>331</v>
      </c>
      <c r="M19" s="11" t="s">
        <v>366</v>
      </c>
      <c r="N19" s="10"/>
      <c r="O19" s="12" t="s">
        <v>39</v>
      </c>
      <c r="P19" s="12">
        <v>3.0</v>
      </c>
      <c r="Q19" s="2"/>
      <c r="R19" s="2">
        <f t="shared" si="1"/>
        <v>0</v>
      </c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">
        <v>259</v>
      </c>
      <c r="B20" s="3" t="s">
        <v>150</v>
      </c>
      <c r="C20" s="3" t="s">
        <v>35</v>
      </c>
      <c r="D20" s="3" t="s">
        <v>5</v>
      </c>
      <c r="E20" s="3" t="s">
        <v>44</v>
      </c>
      <c r="F20" s="3" t="s">
        <v>149</v>
      </c>
      <c r="G20" s="13"/>
      <c r="H20" s="3" t="s">
        <v>201</v>
      </c>
      <c r="I20" s="3" t="s">
        <v>46</v>
      </c>
      <c r="J20" s="3" t="s">
        <v>151</v>
      </c>
      <c r="K20" s="3" t="s">
        <v>367</v>
      </c>
      <c r="L20" s="3" t="s">
        <v>331</v>
      </c>
      <c r="M20" s="11" t="s">
        <v>368</v>
      </c>
      <c r="N20" s="10"/>
      <c r="O20" s="12" t="s">
        <v>39</v>
      </c>
      <c r="P20" s="12">
        <v>3.0</v>
      </c>
      <c r="Q20" s="2"/>
      <c r="R20" s="2">
        <f t="shared" si="1"/>
        <v>0</v>
      </c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">
        <v>260</v>
      </c>
      <c r="B21" s="3" t="s">
        <v>150</v>
      </c>
      <c r="C21" s="3" t="s">
        <v>35</v>
      </c>
      <c r="D21" s="3" t="s">
        <v>5</v>
      </c>
      <c r="E21" s="3" t="s">
        <v>44</v>
      </c>
      <c r="F21" s="3" t="s">
        <v>149</v>
      </c>
      <c r="G21" s="13"/>
      <c r="H21" s="3" t="s">
        <v>201</v>
      </c>
      <c r="I21" s="3" t="s">
        <v>46</v>
      </c>
      <c r="J21" s="3" t="s">
        <v>151</v>
      </c>
      <c r="K21" s="3" t="s">
        <v>369</v>
      </c>
      <c r="L21" s="3" t="s">
        <v>331</v>
      </c>
      <c r="M21" s="11" t="s">
        <v>370</v>
      </c>
      <c r="N21" s="10"/>
      <c r="O21" s="12" t="s">
        <v>39</v>
      </c>
      <c r="P21" s="12">
        <v>3.0</v>
      </c>
      <c r="Q21" s="2"/>
      <c r="R21" s="2">
        <f t="shared" si="1"/>
        <v>0</v>
      </c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">
        <v>261</v>
      </c>
      <c r="B22" s="3" t="s">
        <v>150</v>
      </c>
      <c r="C22" s="3" t="s">
        <v>35</v>
      </c>
      <c r="D22" s="3" t="s">
        <v>5</v>
      </c>
      <c r="E22" s="3" t="s">
        <v>44</v>
      </c>
      <c r="F22" s="3" t="s">
        <v>149</v>
      </c>
      <c r="G22" s="13"/>
      <c r="H22" s="3" t="s">
        <v>201</v>
      </c>
      <c r="I22" s="3" t="s">
        <v>46</v>
      </c>
      <c r="J22" s="3" t="s">
        <v>151</v>
      </c>
      <c r="K22" s="3" t="s">
        <v>371</v>
      </c>
      <c r="L22" s="3" t="s">
        <v>331</v>
      </c>
      <c r="M22" s="11" t="s">
        <v>372</v>
      </c>
      <c r="N22" s="10"/>
      <c r="O22" s="12" t="s">
        <v>39</v>
      </c>
      <c r="P22" s="12">
        <v>3.0</v>
      </c>
      <c r="Q22" s="2"/>
      <c r="R22" s="2">
        <f t="shared" si="1"/>
        <v>0</v>
      </c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">
        <v>262</v>
      </c>
      <c r="B23" s="3" t="s">
        <v>154</v>
      </c>
      <c r="C23" s="3" t="s">
        <v>35</v>
      </c>
      <c r="D23" s="3" t="s">
        <v>5</v>
      </c>
      <c r="E23" s="3" t="s">
        <v>44</v>
      </c>
      <c r="F23" s="3" t="s">
        <v>153</v>
      </c>
      <c r="G23" s="13"/>
      <c r="H23" s="3" t="s">
        <v>222</v>
      </c>
      <c r="I23" s="3" t="s">
        <v>46</v>
      </c>
      <c r="J23" s="3" t="s">
        <v>155</v>
      </c>
      <c r="K23" s="3" t="s">
        <v>373</v>
      </c>
      <c r="L23" s="3" t="s">
        <v>331</v>
      </c>
      <c r="M23" s="11" t="s">
        <v>374</v>
      </c>
      <c r="N23" s="10"/>
      <c r="O23" s="12" t="s">
        <v>39</v>
      </c>
      <c r="P23" s="12">
        <v>3.0</v>
      </c>
      <c r="Q23" s="2"/>
      <c r="R23" s="2">
        <f t="shared" si="1"/>
        <v>0</v>
      </c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">
        <v>263</v>
      </c>
      <c r="B24" s="3" t="s">
        <v>154</v>
      </c>
      <c r="C24" s="3" t="s">
        <v>35</v>
      </c>
      <c r="D24" s="3" t="s">
        <v>5</v>
      </c>
      <c r="E24" s="3" t="s">
        <v>44</v>
      </c>
      <c r="F24" s="3" t="s">
        <v>153</v>
      </c>
      <c r="G24" s="13"/>
      <c r="H24" s="3" t="s">
        <v>222</v>
      </c>
      <c r="I24" s="3" t="s">
        <v>46</v>
      </c>
      <c r="J24" s="3" t="s">
        <v>155</v>
      </c>
      <c r="K24" s="3" t="s">
        <v>375</v>
      </c>
      <c r="L24" s="3" t="s">
        <v>331</v>
      </c>
      <c r="M24" s="11" t="s">
        <v>376</v>
      </c>
      <c r="N24" s="10"/>
      <c r="O24" s="12" t="s">
        <v>39</v>
      </c>
      <c r="P24" s="12">
        <v>3.0</v>
      </c>
      <c r="Q24" s="2"/>
      <c r="R24" s="2">
        <f t="shared" si="1"/>
        <v>0</v>
      </c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">
        <v>264</v>
      </c>
      <c r="B25" s="3" t="s">
        <v>154</v>
      </c>
      <c r="C25" s="3" t="s">
        <v>35</v>
      </c>
      <c r="D25" s="3" t="s">
        <v>5</v>
      </c>
      <c r="E25" s="3" t="s">
        <v>44</v>
      </c>
      <c r="F25" s="3" t="s">
        <v>153</v>
      </c>
      <c r="G25" s="13"/>
      <c r="H25" s="3" t="s">
        <v>208</v>
      </c>
      <c r="I25" s="3" t="s">
        <v>46</v>
      </c>
      <c r="J25" s="3" t="s">
        <v>155</v>
      </c>
      <c r="K25" s="3" t="s">
        <v>377</v>
      </c>
      <c r="L25" s="3" t="s">
        <v>331</v>
      </c>
      <c r="M25" s="11" t="s">
        <v>378</v>
      </c>
      <c r="N25" s="10"/>
      <c r="O25" s="12" t="s">
        <v>39</v>
      </c>
      <c r="P25" s="12">
        <v>3.0</v>
      </c>
      <c r="Q25" s="2"/>
      <c r="R25" s="2">
        <f t="shared" si="1"/>
        <v>0</v>
      </c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">
        <v>265</v>
      </c>
      <c r="B26" s="3" t="s">
        <v>158</v>
      </c>
      <c r="C26" s="3" t="s">
        <v>35</v>
      </c>
      <c r="D26" s="3" t="s">
        <v>5</v>
      </c>
      <c r="E26" s="3" t="s">
        <v>44</v>
      </c>
      <c r="F26" s="3" t="s">
        <v>157</v>
      </c>
      <c r="G26" s="13"/>
      <c r="H26" s="3" t="s">
        <v>208</v>
      </c>
      <c r="I26" s="3" t="s">
        <v>46</v>
      </c>
      <c r="J26" s="3" t="s">
        <v>159</v>
      </c>
      <c r="K26" s="3" t="s">
        <v>379</v>
      </c>
      <c r="L26" s="3" t="s">
        <v>331</v>
      </c>
      <c r="M26" s="11" t="s">
        <v>380</v>
      </c>
      <c r="N26" s="10"/>
      <c r="O26" s="12" t="s">
        <v>39</v>
      </c>
      <c r="P26" s="12">
        <v>3.0</v>
      </c>
      <c r="Q26" s="2"/>
      <c r="R26" s="2">
        <f t="shared" si="1"/>
        <v>0</v>
      </c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266</v>
      </c>
      <c r="B27" s="3" t="s">
        <v>158</v>
      </c>
      <c r="C27" s="3" t="s">
        <v>35</v>
      </c>
      <c r="D27" s="3" t="s">
        <v>5</v>
      </c>
      <c r="E27" s="3" t="s">
        <v>44</v>
      </c>
      <c r="F27" s="3" t="s">
        <v>157</v>
      </c>
      <c r="G27" s="13"/>
      <c r="H27" s="3" t="s">
        <v>208</v>
      </c>
      <c r="I27" s="3" t="s">
        <v>46</v>
      </c>
      <c r="J27" s="3" t="s">
        <v>159</v>
      </c>
      <c r="K27" s="3" t="s">
        <v>381</v>
      </c>
      <c r="L27" s="3" t="s">
        <v>331</v>
      </c>
      <c r="M27" s="11" t="s">
        <v>382</v>
      </c>
      <c r="N27" s="10"/>
      <c r="O27" s="12" t="s">
        <v>39</v>
      </c>
      <c r="P27" s="12">
        <v>3.0</v>
      </c>
      <c r="Q27" s="2"/>
      <c r="R27" s="2">
        <f t="shared" si="1"/>
        <v>0</v>
      </c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">
        <v>267</v>
      </c>
      <c r="B28" s="3" t="s">
        <v>158</v>
      </c>
      <c r="C28" s="3" t="s">
        <v>35</v>
      </c>
      <c r="D28" s="3" t="s">
        <v>5</v>
      </c>
      <c r="E28" s="3" t="s">
        <v>44</v>
      </c>
      <c r="F28" s="3" t="s">
        <v>157</v>
      </c>
      <c r="G28" s="13"/>
      <c r="H28" s="3" t="s">
        <v>201</v>
      </c>
      <c r="I28" s="3" t="s">
        <v>46</v>
      </c>
      <c r="J28" s="3" t="s">
        <v>159</v>
      </c>
      <c r="K28" s="3" t="s">
        <v>383</v>
      </c>
      <c r="L28" s="3" t="s">
        <v>331</v>
      </c>
      <c r="M28" s="11" t="s">
        <v>384</v>
      </c>
      <c r="N28" s="10"/>
      <c r="O28" s="12" t="s">
        <v>39</v>
      </c>
      <c r="P28" s="12">
        <v>3.0</v>
      </c>
      <c r="Q28" s="2"/>
      <c r="R28" s="2">
        <f t="shared" si="1"/>
        <v>0</v>
      </c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">
        <v>268</v>
      </c>
      <c r="B29" s="3" t="s">
        <v>162</v>
      </c>
      <c r="C29" s="3" t="s">
        <v>35</v>
      </c>
      <c r="D29" s="3" t="s">
        <v>5</v>
      </c>
      <c r="E29" s="3" t="s">
        <v>44</v>
      </c>
      <c r="F29" s="3" t="s">
        <v>161</v>
      </c>
      <c r="G29" s="13"/>
      <c r="H29" s="3" t="s">
        <v>222</v>
      </c>
      <c r="I29" s="3" t="s">
        <v>46</v>
      </c>
      <c r="J29" s="3" t="s">
        <v>163</v>
      </c>
      <c r="K29" s="3" t="s">
        <v>385</v>
      </c>
      <c r="L29" s="3" t="s">
        <v>331</v>
      </c>
      <c r="M29" s="11" t="s">
        <v>386</v>
      </c>
      <c r="N29" s="10"/>
      <c r="O29" s="12" t="s">
        <v>39</v>
      </c>
      <c r="P29" s="12">
        <v>3.0</v>
      </c>
      <c r="Q29" s="2"/>
      <c r="R29" s="2">
        <f t="shared" si="1"/>
        <v>0</v>
      </c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">
        <v>269</v>
      </c>
      <c r="B30" s="3" t="s">
        <v>162</v>
      </c>
      <c r="C30" s="3" t="s">
        <v>35</v>
      </c>
      <c r="D30" s="3" t="s">
        <v>5</v>
      </c>
      <c r="E30" s="3" t="s">
        <v>44</v>
      </c>
      <c r="F30" s="3" t="s">
        <v>161</v>
      </c>
      <c r="G30" s="13"/>
      <c r="H30" s="3" t="s">
        <v>222</v>
      </c>
      <c r="I30" s="3" t="s">
        <v>46</v>
      </c>
      <c r="J30" s="3" t="s">
        <v>163</v>
      </c>
      <c r="K30" s="3" t="s">
        <v>387</v>
      </c>
      <c r="L30" s="3" t="s">
        <v>331</v>
      </c>
      <c r="M30" s="11" t="s">
        <v>388</v>
      </c>
      <c r="N30" s="10"/>
      <c r="O30" s="12" t="s">
        <v>39</v>
      </c>
      <c r="P30" s="12">
        <v>3.0</v>
      </c>
      <c r="Q30" s="2"/>
      <c r="R30" s="2">
        <f t="shared" si="1"/>
        <v>0</v>
      </c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">
        <v>270</v>
      </c>
      <c r="B31" s="3" t="s">
        <v>162</v>
      </c>
      <c r="C31" s="3" t="s">
        <v>35</v>
      </c>
      <c r="D31" s="3" t="s">
        <v>5</v>
      </c>
      <c r="E31" s="3" t="s">
        <v>44</v>
      </c>
      <c r="F31" s="3" t="s">
        <v>161</v>
      </c>
      <c r="G31" s="13"/>
      <c r="H31" s="3" t="s">
        <v>222</v>
      </c>
      <c r="I31" s="3" t="s">
        <v>46</v>
      </c>
      <c r="J31" s="3" t="s">
        <v>163</v>
      </c>
      <c r="K31" s="3" t="s">
        <v>389</v>
      </c>
      <c r="L31" s="3" t="s">
        <v>331</v>
      </c>
      <c r="M31" s="11" t="s">
        <v>390</v>
      </c>
      <c r="N31" s="10"/>
      <c r="O31" s="12" t="s">
        <v>39</v>
      </c>
      <c r="P31" s="12">
        <v>3.0</v>
      </c>
      <c r="Q31" s="2"/>
      <c r="R31" s="2">
        <f t="shared" si="1"/>
        <v>0</v>
      </c>
      <c r="S31" s="2"/>
      <c r="T31" s="2"/>
      <c r="U31" s="2"/>
      <c r="V31" s="2"/>
      <c r="W31" s="2"/>
      <c r="X31" s="2"/>
      <c r="Y31" s="2"/>
      <c r="Z31" s="2"/>
      <c r="AA31" s="2"/>
    </row>
    <row r="32">
      <c r="A32" s="3" t="s">
        <v>271</v>
      </c>
      <c r="B32" s="3" t="s">
        <v>166</v>
      </c>
      <c r="C32" s="3" t="s">
        <v>35</v>
      </c>
      <c r="D32" s="3" t="s">
        <v>5</v>
      </c>
      <c r="E32" s="3" t="s">
        <v>49</v>
      </c>
      <c r="F32" s="3" t="s">
        <v>165</v>
      </c>
      <c r="G32" s="13"/>
      <c r="H32" s="3" t="s">
        <v>208</v>
      </c>
      <c r="I32" s="3" t="s">
        <v>51</v>
      </c>
      <c r="J32" s="3" t="s">
        <v>167</v>
      </c>
      <c r="K32" s="3" t="s">
        <v>391</v>
      </c>
      <c r="L32" s="3" t="s">
        <v>331</v>
      </c>
      <c r="M32" s="11" t="s">
        <v>392</v>
      </c>
      <c r="N32" s="10"/>
      <c r="O32" s="12" t="s">
        <v>39</v>
      </c>
      <c r="P32" s="12">
        <v>3.0</v>
      </c>
      <c r="Q32" s="2"/>
      <c r="R32" s="2">
        <f t="shared" si="1"/>
        <v>0</v>
      </c>
      <c r="S32" s="2"/>
      <c r="T32" s="2"/>
      <c r="U32" s="2"/>
      <c r="V32" s="2"/>
      <c r="W32" s="2"/>
      <c r="X32" s="2"/>
      <c r="Y32" s="2"/>
      <c r="Z32" s="2"/>
      <c r="AA32" s="2"/>
    </row>
    <row r="33">
      <c r="A33" s="3" t="s">
        <v>272</v>
      </c>
      <c r="B33" s="3" t="s">
        <v>166</v>
      </c>
      <c r="C33" s="3" t="s">
        <v>35</v>
      </c>
      <c r="D33" s="3" t="s">
        <v>5</v>
      </c>
      <c r="E33" s="3" t="s">
        <v>49</v>
      </c>
      <c r="F33" s="3" t="s">
        <v>165</v>
      </c>
      <c r="G33" s="13"/>
      <c r="H33" s="3" t="s">
        <v>215</v>
      </c>
      <c r="I33" s="3" t="s">
        <v>51</v>
      </c>
      <c r="J33" s="3" t="s">
        <v>167</v>
      </c>
      <c r="K33" s="3" t="s">
        <v>393</v>
      </c>
      <c r="L33" s="3" t="s">
        <v>331</v>
      </c>
      <c r="M33" s="11" t="s">
        <v>394</v>
      </c>
      <c r="N33" s="10"/>
      <c r="O33" s="12" t="s">
        <v>39</v>
      </c>
      <c r="P33" s="12">
        <v>3.0</v>
      </c>
      <c r="Q33" s="2"/>
      <c r="R33" s="2">
        <f t="shared" si="1"/>
        <v>0</v>
      </c>
      <c r="S33" s="2"/>
      <c r="T33" s="2"/>
      <c r="U33" s="2"/>
      <c r="V33" s="2"/>
      <c r="W33" s="2"/>
      <c r="X33" s="2"/>
      <c r="Y33" s="2"/>
      <c r="Z33" s="2"/>
      <c r="AA33" s="2"/>
    </row>
    <row r="34">
      <c r="A34" s="3" t="s">
        <v>273</v>
      </c>
      <c r="B34" s="3" t="s">
        <v>166</v>
      </c>
      <c r="C34" s="3" t="s">
        <v>35</v>
      </c>
      <c r="D34" s="3" t="s">
        <v>5</v>
      </c>
      <c r="E34" s="3" t="s">
        <v>49</v>
      </c>
      <c r="F34" s="3" t="s">
        <v>165</v>
      </c>
      <c r="G34" s="13"/>
      <c r="H34" s="3" t="s">
        <v>215</v>
      </c>
      <c r="I34" s="3" t="s">
        <v>51</v>
      </c>
      <c r="J34" s="3" t="s">
        <v>167</v>
      </c>
      <c r="K34" s="3" t="s">
        <v>395</v>
      </c>
      <c r="L34" s="3" t="s">
        <v>331</v>
      </c>
      <c r="M34" s="11" t="s">
        <v>396</v>
      </c>
      <c r="N34" s="10"/>
      <c r="O34" s="12" t="s">
        <v>39</v>
      </c>
      <c r="P34" s="12">
        <v>3.0</v>
      </c>
      <c r="Q34" s="2"/>
      <c r="R34" s="2">
        <f t="shared" si="1"/>
        <v>0</v>
      </c>
      <c r="S34" s="2"/>
      <c r="T34" s="2"/>
      <c r="U34" s="2"/>
      <c r="V34" s="2"/>
      <c r="W34" s="2"/>
      <c r="X34" s="2"/>
      <c r="Y34" s="2"/>
      <c r="Z34" s="2"/>
      <c r="AA34" s="2"/>
    </row>
    <row r="35">
      <c r="A35" s="3" t="s">
        <v>274</v>
      </c>
      <c r="B35" s="3" t="s">
        <v>170</v>
      </c>
      <c r="C35" s="3" t="s">
        <v>35</v>
      </c>
      <c r="D35" s="3" t="s">
        <v>5</v>
      </c>
      <c r="E35" s="3" t="s">
        <v>49</v>
      </c>
      <c r="F35" s="3" t="s">
        <v>169</v>
      </c>
      <c r="G35" s="13"/>
      <c r="H35" s="3" t="s">
        <v>208</v>
      </c>
      <c r="I35" s="3" t="s">
        <v>51</v>
      </c>
      <c r="J35" s="3" t="s">
        <v>171</v>
      </c>
      <c r="K35" s="3" t="s">
        <v>397</v>
      </c>
      <c r="L35" s="3" t="s">
        <v>331</v>
      </c>
      <c r="M35" s="11" t="s">
        <v>398</v>
      </c>
      <c r="N35" s="10"/>
      <c r="O35" s="12" t="s">
        <v>39</v>
      </c>
      <c r="P35" s="12">
        <v>3.0</v>
      </c>
      <c r="Q35" s="2"/>
      <c r="R35" s="2">
        <f t="shared" si="1"/>
        <v>0</v>
      </c>
      <c r="S35" s="2"/>
      <c r="T35" s="2"/>
      <c r="U35" s="2"/>
      <c r="V35" s="2"/>
      <c r="W35" s="2"/>
      <c r="X35" s="2"/>
      <c r="Y35" s="2"/>
      <c r="Z35" s="2"/>
      <c r="AA35" s="2"/>
    </row>
    <row r="36">
      <c r="A36" s="3" t="s">
        <v>275</v>
      </c>
      <c r="B36" s="3" t="s">
        <v>170</v>
      </c>
      <c r="C36" s="3" t="s">
        <v>35</v>
      </c>
      <c r="D36" s="3" t="s">
        <v>5</v>
      </c>
      <c r="E36" s="3" t="s">
        <v>49</v>
      </c>
      <c r="F36" s="3" t="s">
        <v>169</v>
      </c>
      <c r="G36" s="13"/>
      <c r="H36" s="3" t="s">
        <v>208</v>
      </c>
      <c r="I36" s="3" t="s">
        <v>51</v>
      </c>
      <c r="J36" s="3" t="s">
        <v>171</v>
      </c>
      <c r="K36" s="3" t="s">
        <v>399</v>
      </c>
      <c r="L36" s="3" t="s">
        <v>331</v>
      </c>
      <c r="M36" s="11" t="s">
        <v>400</v>
      </c>
      <c r="N36" s="10"/>
      <c r="O36" s="12" t="s">
        <v>39</v>
      </c>
      <c r="P36" s="12">
        <v>3.0</v>
      </c>
      <c r="Q36" s="2"/>
      <c r="R36" s="2">
        <f t="shared" si="1"/>
        <v>0</v>
      </c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">
        <v>276</v>
      </c>
      <c r="B37" s="3" t="s">
        <v>170</v>
      </c>
      <c r="C37" s="3" t="s">
        <v>35</v>
      </c>
      <c r="D37" s="3" t="s">
        <v>5</v>
      </c>
      <c r="E37" s="3" t="s">
        <v>49</v>
      </c>
      <c r="F37" s="3" t="s">
        <v>169</v>
      </c>
      <c r="G37" s="13"/>
      <c r="H37" s="3" t="s">
        <v>222</v>
      </c>
      <c r="I37" s="3" t="s">
        <v>51</v>
      </c>
      <c r="J37" s="3" t="s">
        <v>171</v>
      </c>
      <c r="K37" s="3" t="s">
        <v>401</v>
      </c>
      <c r="L37" s="3" t="s">
        <v>331</v>
      </c>
      <c r="M37" s="11" t="s">
        <v>402</v>
      </c>
      <c r="N37" s="10"/>
      <c r="O37" s="12" t="s">
        <v>39</v>
      </c>
      <c r="P37" s="12">
        <v>3.0</v>
      </c>
      <c r="Q37" s="2"/>
      <c r="R37" s="2">
        <f t="shared" si="1"/>
        <v>0</v>
      </c>
      <c r="S37" s="2"/>
      <c r="T37" s="2"/>
      <c r="U37" s="2"/>
      <c r="V37" s="2"/>
      <c r="W37" s="2"/>
      <c r="X37" s="2"/>
      <c r="Y37" s="2"/>
      <c r="Z37" s="2"/>
      <c r="AA37" s="2"/>
    </row>
    <row r="38">
      <c r="A38" s="3" t="s">
        <v>277</v>
      </c>
      <c r="B38" s="3" t="s">
        <v>174</v>
      </c>
      <c r="C38" s="3" t="s">
        <v>35</v>
      </c>
      <c r="D38" s="3" t="s">
        <v>5</v>
      </c>
      <c r="E38" s="3" t="s">
        <v>49</v>
      </c>
      <c r="F38" s="3" t="s">
        <v>173</v>
      </c>
      <c r="G38" s="13"/>
      <c r="H38" s="3" t="s">
        <v>208</v>
      </c>
      <c r="I38" s="3" t="s">
        <v>51</v>
      </c>
      <c r="J38" s="3" t="s">
        <v>175</v>
      </c>
      <c r="K38" s="3" t="s">
        <v>403</v>
      </c>
      <c r="L38" s="3" t="s">
        <v>331</v>
      </c>
      <c r="M38" s="11" t="s">
        <v>404</v>
      </c>
      <c r="N38" s="10"/>
      <c r="O38" s="12" t="s">
        <v>39</v>
      </c>
      <c r="P38" s="12">
        <v>3.0</v>
      </c>
      <c r="Q38" s="2"/>
      <c r="R38" s="2">
        <f t="shared" si="1"/>
        <v>0</v>
      </c>
      <c r="S38" s="2"/>
      <c r="T38" s="2"/>
      <c r="U38" s="2"/>
      <c r="V38" s="2"/>
      <c r="W38" s="2"/>
      <c r="X38" s="2"/>
      <c r="Y38" s="2"/>
      <c r="Z38" s="2"/>
      <c r="AA38" s="2"/>
    </row>
    <row r="39">
      <c r="A39" s="3" t="s">
        <v>278</v>
      </c>
      <c r="B39" s="3" t="s">
        <v>174</v>
      </c>
      <c r="C39" s="3" t="s">
        <v>35</v>
      </c>
      <c r="D39" s="3" t="s">
        <v>5</v>
      </c>
      <c r="E39" s="3" t="s">
        <v>49</v>
      </c>
      <c r="F39" s="3" t="s">
        <v>173</v>
      </c>
      <c r="G39" s="13"/>
      <c r="H39" s="3" t="s">
        <v>222</v>
      </c>
      <c r="I39" s="3" t="s">
        <v>51</v>
      </c>
      <c r="J39" s="3" t="s">
        <v>175</v>
      </c>
      <c r="K39" s="3" t="s">
        <v>405</v>
      </c>
      <c r="L39" s="3" t="s">
        <v>331</v>
      </c>
      <c r="M39" s="11" t="s">
        <v>406</v>
      </c>
      <c r="N39" s="10"/>
      <c r="O39" s="12" t="s">
        <v>39</v>
      </c>
      <c r="P39" s="12">
        <v>3.0</v>
      </c>
      <c r="Q39" s="2"/>
      <c r="R39" s="2">
        <f t="shared" si="1"/>
        <v>0</v>
      </c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">
        <v>279</v>
      </c>
      <c r="B40" s="3" t="s">
        <v>174</v>
      </c>
      <c r="C40" s="3" t="s">
        <v>35</v>
      </c>
      <c r="D40" s="3" t="s">
        <v>5</v>
      </c>
      <c r="E40" s="3" t="s">
        <v>49</v>
      </c>
      <c r="F40" s="3" t="s">
        <v>173</v>
      </c>
      <c r="G40" s="13"/>
      <c r="H40" s="3" t="s">
        <v>222</v>
      </c>
      <c r="I40" s="3" t="s">
        <v>51</v>
      </c>
      <c r="J40" s="3" t="s">
        <v>175</v>
      </c>
      <c r="K40" s="3" t="s">
        <v>407</v>
      </c>
      <c r="L40" s="3" t="s">
        <v>331</v>
      </c>
      <c r="M40" s="11" t="s">
        <v>408</v>
      </c>
      <c r="N40" s="10"/>
      <c r="O40" s="12" t="s">
        <v>39</v>
      </c>
      <c r="P40" s="12">
        <v>3.0</v>
      </c>
      <c r="Q40" s="2"/>
      <c r="R40" s="2">
        <f t="shared" si="1"/>
        <v>0</v>
      </c>
      <c r="S40" s="2"/>
      <c r="T40" s="2"/>
      <c r="U40" s="2"/>
      <c r="V40" s="2"/>
      <c r="W40" s="2"/>
      <c r="X40" s="2"/>
      <c r="Y40" s="2"/>
      <c r="Z40" s="2"/>
      <c r="AA40" s="2"/>
    </row>
    <row r="41">
      <c r="A41" s="3" t="s">
        <v>280</v>
      </c>
      <c r="B41" s="3" t="s">
        <v>178</v>
      </c>
      <c r="C41" s="3" t="s">
        <v>35</v>
      </c>
      <c r="D41" s="3" t="s">
        <v>5</v>
      </c>
      <c r="E41" s="3" t="s">
        <v>53</v>
      </c>
      <c r="F41" s="3" t="s">
        <v>177</v>
      </c>
      <c r="G41" s="13"/>
      <c r="H41" s="3" t="s">
        <v>208</v>
      </c>
      <c r="I41" s="3" t="s">
        <v>55</v>
      </c>
      <c r="J41" s="3" t="s">
        <v>179</v>
      </c>
      <c r="K41" s="3" t="s">
        <v>409</v>
      </c>
      <c r="L41" s="3" t="s">
        <v>331</v>
      </c>
      <c r="M41" s="11" t="s">
        <v>410</v>
      </c>
      <c r="N41" s="10"/>
      <c r="O41" s="12" t="s">
        <v>39</v>
      </c>
      <c r="P41" s="12">
        <v>3.0</v>
      </c>
      <c r="Q41" s="2"/>
      <c r="R41" s="2">
        <f t="shared" si="1"/>
        <v>0</v>
      </c>
      <c r="S41" s="2"/>
      <c r="T41" s="2"/>
      <c r="U41" s="2"/>
      <c r="V41" s="2"/>
      <c r="W41" s="2"/>
      <c r="X41" s="2"/>
      <c r="Y41" s="2"/>
      <c r="Z41" s="2"/>
      <c r="AA41" s="2"/>
    </row>
    <row r="42">
      <c r="A42" s="3" t="s">
        <v>281</v>
      </c>
      <c r="B42" s="3" t="s">
        <v>178</v>
      </c>
      <c r="C42" s="3" t="s">
        <v>35</v>
      </c>
      <c r="D42" s="3" t="s">
        <v>5</v>
      </c>
      <c r="E42" s="3" t="s">
        <v>53</v>
      </c>
      <c r="F42" s="3" t="s">
        <v>177</v>
      </c>
      <c r="G42" s="13"/>
      <c r="H42" s="3" t="s">
        <v>222</v>
      </c>
      <c r="I42" s="3" t="s">
        <v>55</v>
      </c>
      <c r="J42" s="3" t="s">
        <v>179</v>
      </c>
      <c r="K42" s="3" t="s">
        <v>411</v>
      </c>
      <c r="L42" s="3" t="s">
        <v>331</v>
      </c>
      <c r="M42" s="11" t="s">
        <v>412</v>
      </c>
      <c r="N42" s="10"/>
      <c r="O42" s="12" t="s">
        <v>39</v>
      </c>
      <c r="P42" s="12">
        <v>3.0</v>
      </c>
      <c r="Q42" s="2"/>
      <c r="R42" s="2">
        <f t="shared" si="1"/>
        <v>0</v>
      </c>
      <c r="S42" s="2"/>
      <c r="T42" s="2"/>
      <c r="U42" s="2"/>
      <c r="V42" s="2"/>
      <c r="W42" s="2"/>
      <c r="X42" s="2"/>
      <c r="Y42" s="2"/>
      <c r="Z42" s="2"/>
      <c r="AA42" s="2"/>
    </row>
    <row r="43">
      <c r="A43" s="3" t="s">
        <v>282</v>
      </c>
      <c r="B43" s="3" t="s">
        <v>178</v>
      </c>
      <c r="C43" s="3" t="s">
        <v>35</v>
      </c>
      <c r="D43" s="3" t="s">
        <v>5</v>
      </c>
      <c r="E43" s="3" t="s">
        <v>53</v>
      </c>
      <c r="F43" s="3" t="s">
        <v>177</v>
      </c>
      <c r="G43" s="13"/>
      <c r="H43" s="3" t="s">
        <v>222</v>
      </c>
      <c r="I43" s="3" t="s">
        <v>55</v>
      </c>
      <c r="J43" s="3" t="s">
        <v>179</v>
      </c>
      <c r="K43" s="3" t="s">
        <v>413</v>
      </c>
      <c r="L43" s="3" t="s">
        <v>331</v>
      </c>
      <c r="M43" s="11" t="s">
        <v>414</v>
      </c>
      <c r="N43" s="10"/>
      <c r="O43" s="12" t="s">
        <v>39</v>
      </c>
      <c r="P43" s="12">
        <v>3.0</v>
      </c>
      <c r="Q43" s="2"/>
      <c r="R43" s="2">
        <f t="shared" si="1"/>
        <v>0</v>
      </c>
      <c r="S43" s="2"/>
      <c r="T43" s="2"/>
      <c r="U43" s="2"/>
      <c r="V43" s="2"/>
      <c r="W43" s="2"/>
      <c r="X43" s="2"/>
      <c r="Y43" s="2"/>
      <c r="Z43" s="2"/>
      <c r="AA43" s="2"/>
    </row>
    <row r="44">
      <c r="A44" s="3" t="s">
        <v>283</v>
      </c>
      <c r="B44" s="3" t="s">
        <v>182</v>
      </c>
      <c r="C44" s="3" t="s">
        <v>35</v>
      </c>
      <c r="D44" s="3" t="s">
        <v>5</v>
      </c>
      <c r="E44" s="3" t="s">
        <v>53</v>
      </c>
      <c r="F44" s="3" t="s">
        <v>181</v>
      </c>
      <c r="G44" s="13"/>
      <c r="H44" s="3" t="s">
        <v>215</v>
      </c>
      <c r="I44" s="3" t="s">
        <v>55</v>
      </c>
      <c r="J44" s="3" t="s">
        <v>183</v>
      </c>
      <c r="K44" s="3" t="s">
        <v>415</v>
      </c>
      <c r="L44" s="3" t="s">
        <v>331</v>
      </c>
      <c r="M44" s="11" t="s">
        <v>416</v>
      </c>
      <c r="N44" s="10"/>
      <c r="O44" s="12" t="s">
        <v>39</v>
      </c>
      <c r="P44" s="12">
        <v>3.0</v>
      </c>
      <c r="Q44" s="2"/>
      <c r="R44" s="2">
        <f t="shared" si="1"/>
        <v>0</v>
      </c>
      <c r="S44" s="2"/>
      <c r="T44" s="2"/>
      <c r="U44" s="2"/>
      <c r="V44" s="2"/>
      <c r="W44" s="2"/>
      <c r="X44" s="2"/>
      <c r="Y44" s="2"/>
      <c r="Z44" s="2"/>
      <c r="AA44" s="2"/>
    </row>
    <row r="45">
      <c r="A45" s="3" t="s">
        <v>284</v>
      </c>
      <c r="B45" s="3" t="s">
        <v>182</v>
      </c>
      <c r="C45" s="3" t="s">
        <v>35</v>
      </c>
      <c r="D45" s="3" t="s">
        <v>5</v>
      </c>
      <c r="E45" s="3" t="s">
        <v>53</v>
      </c>
      <c r="F45" s="3" t="s">
        <v>181</v>
      </c>
      <c r="G45" s="13"/>
      <c r="H45" s="3" t="s">
        <v>215</v>
      </c>
      <c r="I45" s="3" t="s">
        <v>55</v>
      </c>
      <c r="J45" s="3" t="s">
        <v>183</v>
      </c>
      <c r="K45" s="3" t="s">
        <v>417</v>
      </c>
      <c r="L45" s="3" t="s">
        <v>331</v>
      </c>
      <c r="M45" s="11" t="s">
        <v>418</v>
      </c>
      <c r="N45" s="10"/>
      <c r="O45" s="12" t="s">
        <v>39</v>
      </c>
      <c r="P45" s="12">
        <v>3.0</v>
      </c>
      <c r="Q45" s="2"/>
      <c r="R45" s="2">
        <f t="shared" si="1"/>
        <v>0</v>
      </c>
      <c r="S45" s="2"/>
      <c r="T45" s="2"/>
      <c r="U45" s="2"/>
      <c r="V45" s="2"/>
      <c r="W45" s="2"/>
      <c r="X45" s="2"/>
      <c r="Y45" s="2"/>
      <c r="Z45" s="2"/>
      <c r="AA45" s="2"/>
    </row>
    <row r="46">
      <c r="A46" s="3" t="s">
        <v>285</v>
      </c>
      <c r="B46" s="3" t="s">
        <v>182</v>
      </c>
      <c r="C46" s="3" t="s">
        <v>35</v>
      </c>
      <c r="D46" s="3" t="s">
        <v>5</v>
      </c>
      <c r="E46" s="3" t="s">
        <v>53</v>
      </c>
      <c r="F46" s="3" t="s">
        <v>181</v>
      </c>
      <c r="G46" s="13"/>
      <c r="H46" s="3" t="s">
        <v>208</v>
      </c>
      <c r="I46" s="3" t="s">
        <v>55</v>
      </c>
      <c r="J46" s="3" t="s">
        <v>183</v>
      </c>
      <c r="K46" s="3" t="s">
        <v>419</v>
      </c>
      <c r="L46" s="3" t="s">
        <v>331</v>
      </c>
      <c r="M46" s="11" t="s">
        <v>420</v>
      </c>
      <c r="N46" s="10"/>
      <c r="O46" s="12" t="s">
        <v>39</v>
      </c>
      <c r="P46" s="12">
        <v>3.0</v>
      </c>
      <c r="Q46" s="2"/>
      <c r="R46" s="2">
        <f t="shared" si="1"/>
        <v>0</v>
      </c>
      <c r="S46" s="2"/>
      <c r="T46" s="2"/>
      <c r="U46" s="2"/>
      <c r="V46" s="2"/>
      <c r="W46" s="2"/>
      <c r="X46" s="2"/>
      <c r="Y46" s="2"/>
      <c r="Z46" s="2"/>
      <c r="AA46" s="2"/>
    </row>
    <row r="47">
      <c r="A47" s="3" t="s">
        <v>286</v>
      </c>
      <c r="B47" s="3" t="s">
        <v>186</v>
      </c>
      <c r="C47" s="3" t="s">
        <v>35</v>
      </c>
      <c r="D47" s="3" t="s">
        <v>5</v>
      </c>
      <c r="E47" s="3" t="s">
        <v>53</v>
      </c>
      <c r="F47" s="3" t="s">
        <v>185</v>
      </c>
      <c r="G47" s="13"/>
      <c r="H47" s="3" t="s">
        <v>222</v>
      </c>
      <c r="I47" s="3" t="s">
        <v>55</v>
      </c>
      <c r="J47" s="3" t="s">
        <v>187</v>
      </c>
      <c r="K47" s="3" t="s">
        <v>421</v>
      </c>
      <c r="L47" s="3" t="s">
        <v>331</v>
      </c>
      <c r="M47" s="11" t="s">
        <v>422</v>
      </c>
      <c r="N47" s="10"/>
      <c r="O47" s="12" t="s">
        <v>39</v>
      </c>
      <c r="P47" s="12">
        <v>3.0</v>
      </c>
      <c r="Q47" s="2"/>
      <c r="R47" s="2">
        <f t="shared" si="1"/>
        <v>0</v>
      </c>
      <c r="S47" s="2"/>
      <c r="T47" s="2"/>
      <c r="U47" s="2"/>
      <c r="V47" s="2"/>
      <c r="W47" s="2"/>
      <c r="X47" s="2"/>
      <c r="Y47" s="2"/>
      <c r="Z47" s="2"/>
      <c r="AA47" s="2"/>
    </row>
    <row r="48">
      <c r="A48" s="3" t="s">
        <v>287</v>
      </c>
      <c r="B48" s="3" t="s">
        <v>186</v>
      </c>
      <c r="C48" s="3" t="s">
        <v>35</v>
      </c>
      <c r="D48" s="3" t="s">
        <v>5</v>
      </c>
      <c r="E48" s="3" t="s">
        <v>53</v>
      </c>
      <c r="F48" s="3" t="s">
        <v>185</v>
      </c>
      <c r="G48" s="13"/>
      <c r="H48" s="3" t="s">
        <v>208</v>
      </c>
      <c r="I48" s="3" t="s">
        <v>55</v>
      </c>
      <c r="J48" s="3" t="s">
        <v>187</v>
      </c>
      <c r="K48" s="3" t="s">
        <v>423</v>
      </c>
      <c r="L48" s="3" t="s">
        <v>331</v>
      </c>
      <c r="M48" s="11" t="s">
        <v>424</v>
      </c>
      <c r="N48" s="10"/>
      <c r="O48" s="12" t="s">
        <v>39</v>
      </c>
      <c r="P48" s="12">
        <v>3.0</v>
      </c>
      <c r="Q48" s="2"/>
      <c r="R48" s="2">
        <f t="shared" si="1"/>
        <v>0</v>
      </c>
      <c r="S48" s="2"/>
      <c r="T48" s="2"/>
      <c r="U48" s="2"/>
      <c r="V48" s="2"/>
      <c r="W48" s="2"/>
      <c r="X48" s="2"/>
      <c r="Y48" s="2"/>
      <c r="Z48" s="2"/>
      <c r="AA48" s="2"/>
    </row>
    <row r="49">
      <c r="A49" s="3" t="s">
        <v>288</v>
      </c>
      <c r="B49" s="3" t="s">
        <v>186</v>
      </c>
      <c r="C49" s="3" t="s">
        <v>35</v>
      </c>
      <c r="D49" s="3" t="s">
        <v>5</v>
      </c>
      <c r="E49" s="3" t="s">
        <v>53</v>
      </c>
      <c r="F49" s="3" t="s">
        <v>185</v>
      </c>
      <c r="G49" s="13"/>
      <c r="H49" s="3" t="s">
        <v>208</v>
      </c>
      <c r="I49" s="3" t="s">
        <v>55</v>
      </c>
      <c r="J49" s="3" t="s">
        <v>187</v>
      </c>
      <c r="K49" s="3" t="s">
        <v>425</v>
      </c>
      <c r="L49" s="3" t="s">
        <v>331</v>
      </c>
      <c r="M49" s="11" t="s">
        <v>426</v>
      </c>
      <c r="N49" s="10"/>
      <c r="O49" s="12" t="s">
        <v>39</v>
      </c>
      <c r="P49" s="12">
        <v>3.0</v>
      </c>
      <c r="Q49" s="2"/>
      <c r="R49" s="2">
        <f t="shared" si="1"/>
        <v>0</v>
      </c>
      <c r="S49" s="2"/>
      <c r="T49" s="2"/>
      <c r="U49" s="2"/>
      <c r="V49" s="2"/>
      <c r="W49" s="2"/>
      <c r="X49" s="2"/>
      <c r="Y49" s="2"/>
      <c r="Z49" s="2"/>
      <c r="AA49" s="2"/>
    </row>
    <row r="50">
      <c r="A50" s="3" t="s">
        <v>289</v>
      </c>
      <c r="B50" s="3" t="s">
        <v>58</v>
      </c>
      <c r="C50" s="3" t="s">
        <v>35</v>
      </c>
      <c r="D50" s="3" t="s">
        <v>5</v>
      </c>
      <c r="E50" s="3" t="s">
        <v>57</v>
      </c>
      <c r="F50" s="3" t="s">
        <v>96</v>
      </c>
      <c r="G50" s="13"/>
      <c r="H50" s="3" t="s">
        <v>427</v>
      </c>
      <c r="I50" s="3" t="s">
        <v>60</v>
      </c>
      <c r="J50" s="3" t="s">
        <v>60</v>
      </c>
      <c r="K50" s="3" t="s">
        <v>428</v>
      </c>
      <c r="L50" s="3" t="s">
        <v>429</v>
      </c>
      <c r="M50" s="11" t="s">
        <v>430</v>
      </c>
      <c r="N50" s="10"/>
      <c r="O50" s="12" t="s">
        <v>39</v>
      </c>
      <c r="P50" s="12">
        <v>5.0</v>
      </c>
      <c r="Q50" s="2"/>
      <c r="R50" s="2">
        <f t="shared" si="1"/>
        <v>0</v>
      </c>
      <c r="S50" s="2"/>
      <c r="T50" s="2"/>
      <c r="U50" s="2"/>
      <c r="V50" s="2"/>
      <c r="W50" s="2"/>
      <c r="X50" s="2"/>
      <c r="Y50" s="2"/>
      <c r="Z50" s="2"/>
      <c r="AA50" s="2"/>
    </row>
    <row r="51">
      <c r="A51" s="3" t="s">
        <v>290</v>
      </c>
      <c r="B51" s="3" t="s">
        <v>58</v>
      </c>
      <c r="C51" s="3" t="s">
        <v>35</v>
      </c>
      <c r="D51" s="3" t="s">
        <v>5</v>
      </c>
      <c r="E51" s="3" t="s">
        <v>57</v>
      </c>
      <c r="F51" s="3" t="s">
        <v>96</v>
      </c>
      <c r="G51" s="13"/>
      <c r="H51" s="3" t="s">
        <v>427</v>
      </c>
      <c r="I51" s="3" t="s">
        <v>60</v>
      </c>
      <c r="J51" s="3" t="s">
        <v>60</v>
      </c>
      <c r="K51" s="3" t="s">
        <v>431</v>
      </c>
      <c r="L51" s="3" t="s">
        <v>429</v>
      </c>
      <c r="M51" s="11" t="s">
        <v>432</v>
      </c>
      <c r="N51" s="10"/>
      <c r="O51" s="12" t="s">
        <v>48</v>
      </c>
      <c r="P51" s="12">
        <v>8.0</v>
      </c>
      <c r="Q51" s="2"/>
      <c r="R51" s="2">
        <f t="shared" si="1"/>
        <v>0</v>
      </c>
      <c r="S51" s="2"/>
      <c r="T51" s="2"/>
      <c r="U51" s="2"/>
      <c r="V51" s="2"/>
      <c r="W51" s="2"/>
      <c r="X51" s="2"/>
      <c r="Y51" s="2"/>
      <c r="Z51" s="2"/>
      <c r="AA51" s="2"/>
    </row>
    <row r="52">
      <c r="A52" s="3" t="s">
        <v>291</v>
      </c>
      <c r="B52" s="3" t="s">
        <v>58</v>
      </c>
      <c r="C52" s="3" t="s">
        <v>35</v>
      </c>
      <c r="D52" s="3" t="s">
        <v>5</v>
      </c>
      <c r="E52" s="3" t="s">
        <v>57</v>
      </c>
      <c r="F52" s="3" t="s">
        <v>96</v>
      </c>
      <c r="G52" s="13"/>
      <c r="H52" s="3" t="s">
        <v>427</v>
      </c>
      <c r="I52" s="3" t="s">
        <v>60</v>
      </c>
      <c r="J52" s="3" t="s">
        <v>60</v>
      </c>
      <c r="K52" s="3" t="s">
        <v>433</v>
      </c>
      <c r="L52" s="3" t="s">
        <v>429</v>
      </c>
      <c r="M52" s="11" t="s">
        <v>434</v>
      </c>
      <c r="N52" s="10"/>
      <c r="O52" s="12" t="s">
        <v>48</v>
      </c>
      <c r="P52" s="12">
        <v>8.0</v>
      </c>
      <c r="Q52" s="2"/>
      <c r="R52" s="2">
        <f t="shared" si="1"/>
        <v>0</v>
      </c>
      <c r="S52" s="2"/>
      <c r="T52" s="2"/>
      <c r="U52" s="2"/>
      <c r="V52" s="2"/>
      <c r="W52" s="2"/>
      <c r="X52" s="2"/>
      <c r="Y52" s="2"/>
      <c r="Z52" s="2"/>
      <c r="AA52" s="2"/>
    </row>
    <row r="53">
      <c r="A53" s="3" t="s">
        <v>292</v>
      </c>
      <c r="B53" s="3" t="s">
        <v>58</v>
      </c>
      <c r="C53" s="3" t="s">
        <v>35</v>
      </c>
      <c r="D53" s="3" t="s">
        <v>5</v>
      </c>
      <c r="E53" s="3" t="s">
        <v>57</v>
      </c>
      <c r="F53" s="3" t="s">
        <v>96</v>
      </c>
      <c r="G53" s="13"/>
      <c r="H53" s="3" t="s">
        <v>427</v>
      </c>
      <c r="I53" s="3" t="s">
        <v>60</v>
      </c>
      <c r="J53" s="3" t="s">
        <v>60</v>
      </c>
      <c r="K53" s="3" t="s">
        <v>435</v>
      </c>
      <c r="L53" s="3" t="s">
        <v>429</v>
      </c>
      <c r="M53" s="11" t="s">
        <v>436</v>
      </c>
      <c r="N53" s="10"/>
      <c r="O53" s="12" t="s">
        <v>39</v>
      </c>
      <c r="P53" s="12">
        <v>5.0</v>
      </c>
      <c r="Q53" s="2"/>
      <c r="R53" s="2">
        <f t="shared" si="1"/>
        <v>0</v>
      </c>
      <c r="S53" s="2"/>
      <c r="T53" s="2"/>
      <c r="U53" s="2"/>
      <c r="V53" s="2"/>
      <c r="W53" s="2"/>
      <c r="X53" s="2"/>
      <c r="Y53" s="2"/>
      <c r="Z53" s="2"/>
      <c r="AA53" s="2"/>
    </row>
    <row r="54">
      <c r="A54" s="3" t="s">
        <v>293</v>
      </c>
      <c r="B54" s="3" t="s">
        <v>58</v>
      </c>
      <c r="C54" s="3" t="s">
        <v>35</v>
      </c>
      <c r="D54" s="3" t="s">
        <v>5</v>
      </c>
      <c r="E54" s="3" t="s">
        <v>57</v>
      </c>
      <c r="F54" s="3" t="s">
        <v>96</v>
      </c>
      <c r="G54" s="13"/>
      <c r="H54" s="3" t="s">
        <v>427</v>
      </c>
      <c r="I54" s="3" t="s">
        <v>60</v>
      </c>
      <c r="J54" s="3" t="s">
        <v>60</v>
      </c>
      <c r="K54" s="3" t="s">
        <v>437</v>
      </c>
      <c r="L54" s="3" t="s">
        <v>429</v>
      </c>
      <c r="M54" s="11" t="s">
        <v>438</v>
      </c>
      <c r="N54" s="10"/>
      <c r="O54" s="12" t="s">
        <v>39</v>
      </c>
      <c r="P54" s="12">
        <v>5.0</v>
      </c>
      <c r="Q54" s="2"/>
      <c r="R54" s="2">
        <f t="shared" si="1"/>
        <v>0</v>
      </c>
      <c r="S54" s="2"/>
      <c r="T54" s="2"/>
      <c r="U54" s="2"/>
      <c r="V54" s="2"/>
      <c r="W54" s="2"/>
      <c r="X54" s="2"/>
      <c r="Y54" s="2"/>
      <c r="Z54" s="2"/>
      <c r="AA54" s="2"/>
    </row>
    <row r="55">
      <c r="A55" s="3" t="s">
        <v>294</v>
      </c>
      <c r="B55" s="3" t="s">
        <v>63</v>
      </c>
      <c r="C55" s="3" t="s">
        <v>35</v>
      </c>
      <c r="D55" s="3" t="s">
        <v>5</v>
      </c>
      <c r="E55" s="3" t="s">
        <v>62</v>
      </c>
      <c r="F55" s="3" t="s">
        <v>97</v>
      </c>
      <c r="G55" s="13"/>
      <c r="H55" s="3" t="s">
        <v>427</v>
      </c>
      <c r="I55" s="3" t="s">
        <v>64</v>
      </c>
      <c r="J55" s="3" t="s">
        <v>64</v>
      </c>
      <c r="K55" s="3" t="s">
        <v>439</v>
      </c>
      <c r="L55" s="3" t="s">
        <v>429</v>
      </c>
      <c r="M55" s="11" t="s">
        <v>440</v>
      </c>
      <c r="N55" s="10"/>
      <c r="O55" s="12" t="s">
        <v>48</v>
      </c>
      <c r="P55" s="12">
        <v>8.0</v>
      </c>
      <c r="Q55" s="2"/>
      <c r="R55" s="2">
        <f t="shared" si="1"/>
        <v>0</v>
      </c>
      <c r="S55" s="2"/>
      <c r="T55" s="2"/>
      <c r="U55" s="2"/>
      <c r="V55" s="2"/>
      <c r="W55" s="2"/>
      <c r="X55" s="2"/>
      <c r="Y55" s="2"/>
      <c r="Z55" s="2"/>
      <c r="AA55" s="2"/>
    </row>
    <row r="56">
      <c r="A56" s="3" t="s">
        <v>295</v>
      </c>
      <c r="B56" s="3" t="s">
        <v>63</v>
      </c>
      <c r="C56" s="3" t="s">
        <v>35</v>
      </c>
      <c r="D56" s="3" t="s">
        <v>5</v>
      </c>
      <c r="E56" s="3" t="s">
        <v>62</v>
      </c>
      <c r="F56" s="3" t="s">
        <v>97</v>
      </c>
      <c r="G56" s="13"/>
      <c r="H56" s="3" t="s">
        <v>427</v>
      </c>
      <c r="I56" s="3" t="s">
        <v>64</v>
      </c>
      <c r="J56" s="3" t="s">
        <v>64</v>
      </c>
      <c r="K56" s="3" t="s">
        <v>441</v>
      </c>
      <c r="L56" s="3" t="s">
        <v>429</v>
      </c>
      <c r="M56" s="11" t="s">
        <v>442</v>
      </c>
      <c r="N56" s="10"/>
      <c r="O56" s="12" t="s">
        <v>48</v>
      </c>
      <c r="P56" s="12">
        <v>8.0</v>
      </c>
      <c r="Q56" s="2"/>
      <c r="R56" s="2">
        <f t="shared" si="1"/>
        <v>0</v>
      </c>
      <c r="S56" s="2"/>
      <c r="T56" s="2"/>
      <c r="U56" s="2"/>
      <c r="V56" s="2"/>
      <c r="W56" s="2"/>
      <c r="X56" s="2"/>
      <c r="Y56" s="2"/>
      <c r="Z56" s="2"/>
      <c r="AA56" s="2"/>
    </row>
    <row r="57">
      <c r="A57" s="3" t="s">
        <v>296</v>
      </c>
      <c r="B57" s="3" t="s">
        <v>63</v>
      </c>
      <c r="C57" s="3" t="s">
        <v>35</v>
      </c>
      <c r="D57" s="3" t="s">
        <v>5</v>
      </c>
      <c r="E57" s="3" t="s">
        <v>62</v>
      </c>
      <c r="F57" s="3" t="s">
        <v>97</v>
      </c>
      <c r="G57" s="13"/>
      <c r="H57" s="3" t="s">
        <v>427</v>
      </c>
      <c r="I57" s="3" t="s">
        <v>64</v>
      </c>
      <c r="J57" s="3" t="s">
        <v>64</v>
      </c>
      <c r="K57" s="3" t="s">
        <v>443</v>
      </c>
      <c r="L57" s="3" t="s">
        <v>429</v>
      </c>
      <c r="M57" s="11" t="s">
        <v>444</v>
      </c>
      <c r="N57" s="10"/>
      <c r="O57" s="12" t="s">
        <v>48</v>
      </c>
      <c r="P57" s="12">
        <v>8.0</v>
      </c>
      <c r="Q57" s="2"/>
      <c r="R57" s="2">
        <f t="shared" si="1"/>
        <v>0</v>
      </c>
      <c r="S57" s="2"/>
      <c r="T57" s="2"/>
      <c r="U57" s="2"/>
      <c r="V57" s="2"/>
      <c r="W57" s="2"/>
      <c r="X57" s="2"/>
      <c r="Y57" s="2"/>
      <c r="Z57" s="2"/>
      <c r="AA57" s="2"/>
    </row>
    <row r="58">
      <c r="A58" s="3" t="s">
        <v>297</v>
      </c>
      <c r="B58" s="3" t="s">
        <v>63</v>
      </c>
      <c r="C58" s="3" t="s">
        <v>35</v>
      </c>
      <c r="D58" s="3" t="s">
        <v>5</v>
      </c>
      <c r="E58" s="3" t="s">
        <v>62</v>
      </c>
      <c r="F58" s="3" t="s">
        <v>97</v>
      </c>
      <c r="G58" s="13"/>
      <c r="H58" s="3" t="s">
        <v>427</v>
      </c>
      <c r="I58" s="3" t="s">
        <v>64</v>
      </c>
      <c r="J58" s="3" t="s">
        <v>64</v>
      </c>
      <c r="K58" s="3" t="s">
        <v>445</v>
      </c>
      <c r="L58" s="3" t="s">
        <v>429</v>
      </c>
      <c r="M58" s="11" t="s">
        <v>446</v>
      </c>
      <c r="N58" s="10"/>
      <c r="O58" s="12" t="s">
        <v>39</v>
      </c>
      <c r="P58" s="12">
        <v>5.0</v>
      </c>
      <c r="Q58" s="2"/>
      <c r="R58" s="2">
        <f t="shared" si="1"/>
        <v>0</v>
      </c>
      <c r="S58" s="2"/>
      <c r="T58" s="2"/>
      <c r="U58" s="2"/>
      <c r="V58" s="2"/>
      <c r="W58" s="2"/>
      <c r="X58" s="2"/>
      <c r="Y58" s="2"/>
      <c r="Z58" s="2"/>
      <c r="AA58" s="2"/>
    </row>
    <row r="59">
      <c r="A59" s="3" t="s">
        <v>298</v>
      </c>
      <c r="B59" s="3" t="s">
        <v>63</v>
      </c>
      <c r="C59" s="3" t="s">
        <v>35</v>
      </c>
      <c r="D59" s="3" t="s">
        <v>5</v>
      </c>
      <c r="E59" s="3" t="s">
        <v>62</v>
      </c>
      <c r="F59" s="3" t="s">
        <v>97</v>
      </c>
      <c r="G59" s="13"/>
      <c r="H59" s="3" t="s">
        <v>427</v>
      </c>
      <c r="I59" s="3" t="s">
        <v>64</v>
      </c>
      <c r="J59" s="3" t="s">
        <v>64</v>
      </c>
      <c r="K59" s="3" t="s">
        <v>447</v>
      </c>
      <c r="L59" s="3" t="s">
        <v>429</v>
      </c>
      <c r="M59" s="11" t="s">
        <v>448</v>
      </c>
      <c r="N59" s="10"/>
      <c r="O59" s="12" t="s">
        <v>39</v>
      </c>
      <c r="P59" s="12">
        <v>5.0</v>
      </c>
      <c r="Q59" s="2"/>
      <c r="R59" s="2">
        <f t="shared" si="1"/>
        <v>0</v>
      </c>
      <c r="S59" s="2"/>
      <c r="T59" s="2"/>
      <c r="U59" s="2"/>
      <c r="V59" s="2"/>
      <c r="W59" s="2"/>
      <c r="X59" s="2"/>
      <c r="Y59" s="2"/>
      <c r="Z59" s="2"/>
      <c r="AA59" s="2"/>
    </row>
    <row r="60">
      <c r="A60" s="3" t="s">
        <v>299</v>
      </c>
      <c r="B60" s="3" t="s">
        <v>67</v>
      </c>
      <c r="C60" s="3" t="s">
        <v>35</v>
      </c>
      <c r="D60" s="3" t="s">
        <v>5</v>
      </c>
      <c r="E60" s="3" t="s">
        <v>66</v>
      </c>
      <c r="F60" s="3" t="s">
        <v>98</v>
      </c>
      <c r="G60" s="13"/>
      <c r="H60" s="3" t="s">
        <v>427</v>
      </c>
      <c r="I60" s="3" t="s">
        <v>68</v>
      </c>
      <c r="J60" s="3" t="s">
        <v>68</v>
      </c>
      <c r="K60" s="3" t="s">
        <v>449</v>
      </c>
      <c r="L60" s="3" t="s">
        <v>429</v>
      </c>
      <c r="M60" s="11" t="s">
        <v>450</v>
      </c>
      <c r="N60" s="10"/>
      <c r="O60" s="12" t="s">
        <v>39</v>
      </c>
      <c r="P60" s="12">
        <v>5.0</v>
      </c>
      <c r="Q60" s="2"/>
      <c r="R60" s="2">
        <f t="shared" si="1"/>
        <v>0</v>
      </c>
      <c r="S60" s="2"/>
      <c r="T60" s="2"/>
      <c r="U60" s="2"/>
      <c r="V60" s="2"/>
      <c r="W60" s="2"/>
      <c r="X60" s="2"/>
      <c r="Y60" s="2"/>
      <c r="Z60" s="2"/>
      <c r="AA60" s="2"/>
    </row>
    <row r="61">
      <c r="A61" s="3" t="s">
        <v>300</v>
      </c>
      <c r="B61" s="3" t="s">
        <v>67</v>
      </c>
      <c r="C61" s="3" t="s">
        <v>35</v>
      </c>
      <c r="D61" s="3" t="s">
        <v>5</v>
      </c>
      <c r="E61" s="3" t="s">
        <v>66</v>
      </c>
      <c r="F61" s="3" t="s">
        <v>98</v>
      </c>
      <c r="G61" s="13"/>
      <c r="H61" s="3" t="s">
        <v>427</v>
      </c>
      <c r="I61" s="3" t="s">
        <v>68</v>
      </c>
      <c r="J61" s="3" t="s">
        <v>68</v>
      </c>
      <c r="K61" s="3" t="s">
        <v>451</v>
      </c>
      <c r="L61" s="3" t="s">
        <v>429</v>
      </c>
      <c r="M61" s="11" t="s">
        <v>452</v>
      </c>
      <c r="N61" s="10"/>
      <c r="O61" s="12" t="s">
        <v>39</v>
      </c>
      <c r="P61" s="12">
        <v>5.0</v>
      </c>
      <c r="Q61" s="2"/>
      <c r="R61" s="2">
        <f t="shared" si="1"/>
        <v>0</v>
      </c>
      <c r="S61" s="2"/>
      <c r="T61" s="2"/>
      <c r="U61" s="2"/>
      <c r="V61" s="2"/>
      <c r="W61" s="2"/>
      <c r="X61" s="2"/>
      <c r="Y61" s="2"/>
      <c r="Z61" s="2"/>
      <c r="AA61" s="2"/>
    </row>
    <row r="62">
      <c r="A62" s="3" t="s">
        <v>301</v>
      </c>
      <c r="B62" s="3" t="s">
        <v>67</v>
      </c>
      <c r="C62" s="3" t="s">
        <v>35</v>
      </c>
      <c r="D62" s="3" t="s">
        <v>5</v>
      </c>
      <c r="E62" s="3" t="s">
        <v>66</v>
      </c>
      <c r="F62" s="3" t="s">
        <v>98</v>
      </c>
      <c r="G62" s="13"/>
      <c r="H62" s="3" t="s">
        <v>427</v>
      </c>
      <c r="I62" s="3" t="s">
        <v>68</v>
      </c>
      <c r="J62" s="3" t="s">
        <v>68</v>
      </c>
      <c r="K62" s="3" t="s">
        <v>179</v>
      </c>
      <c r="L62" s="3" t="s">
        <v>429</v>
      </c>
      <c r="M62" s="11" t="s">
        <v>453</v>
      </c>
      <c r="N62" s="10"/>
      <c r="O62" s="12" t="s">
        <v>39</v>
      </c>
      <c r="P62" s="12">
        <v>5.0</v>
      </c>
      <c r="Q62" s="2"/>
      <c r="R62" s="2">
        <f t="shared" si="1"/>
        <v>0</v>
      </c>
      <c r="S62" s="2"/>
      <c r="T62" s="2"/>
      <c r="U62" s="2"/>
      <c r="V62" s="2"/>
      <c r="W62" s="2"/>
      <c r="X62" s="2"/>
      <c r="Y62" s="2"/>
      <c r="Z62" s="2"/>
      <c r="AA62" s="2"/>
    </row>
    <row r="63">
      <c r="A63" s="3" t="s">
        <v>302</v>
      </c>
      <c r="B63" s="3" t="s">
        <v>76</v>
      </c>
      <c r="C63" s="3" t="s">
        <v>35</v>
      </c>
      <c r="D63" s="3" t="s">
        <v>5</v>
      </c>
      <c r="E63" s="3" t="s">
        <v>75</v>
      </c>
      <c r="F63" s="3" t="s">
        <v>189</v>
      </c>
      <c r="G63" s="13"/>
      <c r="H63" s="3" t="s">
        <v>427</v>
      </c>
      <c r="I63" s="3" t="s">
        <v>78</v>
      </c>
      <c r="J63" s="3" t="s">
        <v>78</v>
      </c>
      <c r="K63" s="3" t="s">
        <v>78</v>
      </c>
      <c r="L63" s="3" t="s">
        <v>190</v>
      </c>
      <c r="M63" s="11" t="s">
        <v>79</v>
      </c>
      <c r="N63" s="10"/>
      <c r="O63" s="12" t="s">
        <v>48</v>
      </c>
      <c r="P63" s="12">
        <v>8.0</v>
      </c>
      <c r="Q63" s="2"/>
      <c r="R63" s="2">
        <f t="shared" si="1"/>
        <v>0</v>
      </c>
      <c r="S63" s="2"/>
      <c r="T63" s="2"/>
      <c r="U63" s="2"/>
      <c r="V63" s="2"/>
      <c r="W63" s="2"/>
      <c r="X63" s="2"/>
      <c r="Y63" s="2"/>
      <c r="Z63" s="2"/>
      <c r="AA63" s="2"/>
    </row>
    <row r="64">
      <c r="A64" s="3" t="s">
        <v>303</v>
      </c>
      <c r="B64" s="3" t="s">
        <v>81</v>
      </c>
      <c r="C64" s="3" t="s">
        <v>35</v>
      </c>
      <c r="D64" s="3" t="s">
        <v>5</v>
      </c>
      <c r="E64" s="3" t="s">
        <v>80</v>
      </c>
      <c r="F64" s="3" t="s">
        <v>191</v>
      </c>
      <c r="G64" s="13"/>
      <c r="H64" s="3" t="s">
        <v>427</v>
      </c>
      <c r="I64" s="3" t="s">
        <v>82</v>
      </c>
      <c r="J64" s="3" t="s">
        <v>82</v>
      </c>
      <c r="K64" s="3" t="s">
        <v>82</v>
      </c>
      <c r="L64" s="3" t="s">
        <v>190</v>
      </c>
      <c r="M64" s="11" t="s">
        <v>83</v>
      </c>
      <c r="N64" s="10"/>
      <c r="O64" s="12" t="s">
        <v>48</v>
      </c>
      <c r="P64" s="12">
        <v>8.0</v>
      </c>
      <c r="Q64" s="2"/>
      <c r="R64" s="2">
        <f t="shared" si="1"/>
        <v>0</v>
      </c>
      <c r="S64" s="2"/>
      <c r="T64" s="2"/>
      <c r="U64" s="2"/>
      <c r="V64" s="2"/>
      <c r="W64" s="2"/>
      <c r="X64" s="2"/>
      <c r="Y64" s="2"/>
      <c r="Z64" s="2"/>
      <c r="AA64" s="2"/>
    </row>
    <row r="65">
      <c r="A65" s="3" t="s">
        <v>304</v>
      </c>
      <c r="B65" s="3" t="s">
        <v>85</v>
      </c>
      <c r="C65" s="3" t="s">
        <v>35</v>
      </c>
      <c r="D65" s="3" t="s">
        <v>5</v>
      </c>
      <c r="E65" s="3" t="s">
        <v>84</v>
      </c>
      <c r="F65" s="3" t="s">
        <v>192</v>
      </c>
      <c r="G65" s="13"/>
      <c r="H65" s="3" t="s">
        <v>427</v>
      </c>
      <c r="I65" s="3" t="s">
        <v>86</v>
      </c>
      <c r="J65" s="3" t="s">
        <v>86</v>
      </c>
      <c r="K65" s="3" t="s">
        <v>86</v>
      </c>
      <c r="L65" s="3" t="s">
        <v>190</v>
      </c>
      <c r="M65" s="11" t="s">
        <v>87</v>
      </c>
      <c r="N65" s="10"/>
      <c r="O65" s="12" t="s">
        <v>48</v>
      </c>
      <c r="P65" s="12">
        <v>8.0</v>
      </c>
      <c r="Q65" s="2"/>
      <c r="R65" s="2">
        <f t="shared" si="1"/>
        <v>0</v>
      </c>
      <c r="S65" s="2"/>
      <c r="T65" s="2"/>
      <c r="U65" s="2"/>
      <c r="V65" s="2"/>
      <c r="W65" s="2"/>
      <c r="X65" s="2"/>
      <c r="Y65" s="2"/>
      <c r="Z65" s="2"/>
      <c r="AA65" s="2"/>
    </row>
    <row r="66">
      <c r="A66" s="3" t="s">
        <v>305</v>
      </c>
      <c r="B66" s="3" t="s">
        <v>89</v>
      </c>
      <c r="C66" s="3" t="s">
        <v>35</v>
      </c>
      <c r="D66" s="3" t="s">
        <v>5</v>
      </c>
      <c r="E66" s="3" t="s">
        <v>88</v>
      </c>
      <c r="F66" s="3" t="s">
        <v>193</v>
      </c>
      <c r="G66" s="13"/>
      <c r="H66" s="3" t="s">
        <v>427</v>
      </c>
      <c r="I66" s="3" t="s">
        <v>90</v>
      </c>
      <c r="J66" s="3" t="s">
        <v>90</v>
      </c>
      <c r="K66" s="3" t="s">
        <v>90</v>
      </c>
      <c r="L66" s="3" t="s">
        <v>190</v>
      </c>
      <c r="M66" s="11" t="s">
        <v>91</v>
      </c>
      <c r="N66" s="10"/>
      <c r="O66" s="12" t="s">
        <v>39</v>
      </c>
      <c r="P66" s="12">
        <v>5.0</v>
      </c>
      <c r="Q66" s="2"/>
      <c r="R66" s="2">
        <f t="shared" si="1"/>
        <v>0</v>
      </c>
      <c r="S66" s="2"/>
      <c r="T66" s="2"/>
      <c r="U66" s="2"/>
      <c r="V66" s="2"/>
      <c r="W66" s="2"/>
      <c r="X66" s="2"/>
      <c r="Y66" s="2"/>
      <c r="Z66" s="2"/>
      <c r="AA66" s="2"/>
    </row>
    <row r="67">
      <c r="A67" s="3" t="s">
        <v>306</v>
      </c>
      <c r="B67" s="3" t="s">
        <v>100</v>
      </c>
      <c r="C67" s="3" t="s">
        <v>35</v>
      </c>
      <c r="D67" s="3" t="s">
        <v>5</v>
      </c>
      <c r="E67" s="3" t="s">
        <v>70</v>
      </c>
      <c r="F67" s="3" t="s">
        <v>99</v>
      </c>
      <c r="G67" s="13"/>
      <c r="H67" s="3" t="s">
        <v>427</v>
      </c>
      <c r="I67" s="3" t="s">
        <v>73</v>
      </c>
      <c r="J67" s="3" t="s">
        <v>101</v>
      </c>
      <c r="K67" s="3" t="s">
        <v>454</v>
      </c>
      <c r="L67" s="3" t="s">
        <v>455</v>
      </c>
      <c r="M67" s="11" t="s">
        <v>456</v>
      </c>
      <c r="N67" s="10"/>
      <c r="O67" s="12" t="s">
        <v>39</v>
      </c>
      <c r="P67" s="12">
        <v>5.0</v>
      </c>
      <c r="Q67" s="2"/>
      <c r="R67" s="2">
        <f t="shared" si="1"/>
        <v>0</v>
      </c>
      <c r="S67" s="2"/>
      <c r="T67" s="2"/>
      <c r="U67" s="2"/>
      <c r="V67" s="2"/>
      <c r="W67" s="2"/>
      <c r="X67" s="2"/>
      <c r="Y67" s="2"/>
      <c r="Z67" s="2"/>
      <c r="AA67" s="2"/>
    </row>
    <row r="68">
      <c r="A68" s="3" t="s">
        <v>307</v>
      </c>
      <c r="B68" s="3" t="s">
        <v>100</v>
      </c>
      <c r="C68" s="3" t="s">
        <v>35</v>
      </c>
      <c r="D68" s="3" t="s">
        <v>5</v>
      </c>
      <c r="E68" s="3" t="s">
        <v>70</v>
      </c>
      <c r="F68" s="3" t="s">
        <v>99</v>
      </c>
      <c r="G68" s="13"/>
      <c r="H68" s="3" t="s">
        <v>427</v>
      </c>
      <c r="I68" s="3" t="s">
        <v>73</v>
      </c>
      <c r="J68" s="3" t="s">
        <v>101</v>
      </c>
      <c r="K68" s="3" t="s">
        <v>457</v>
      </c>
      <c r="L68" s="3" t="s">
        <v>455</v>
      </c>
      <c r="M68" s="11" t="s">
        <v>458</v>
      </c>
      <c r="N68" s="10"/>
      <c r="O68" s="12" t="s">
        <v>39</v>
      </c>
      <c r="P68" s="12">
        <v>5.0</v>
      </c>
      <c r="Q68" s="2"/>
      <c r="R68" s="2">
        <f t="shared" si="1"/>
        <v>0</v>
      </c>
      <c r="S68" s="2"/>
      <c r="T68" s="2"/>
      <c r="U68" s="2"/>
      <c r="V68" s="2"/>
      <c r="W68" s="2"/>
      <c r="X68" s="2"/>
      <c r="Y68" s="2"/>
      <c r="Z68" s="2"/>
      <c r="AA68" s="2"/>
    </row>
    <row r="69">
      <c r="A69" s="3" t="s">
        <v>308</v>
      </c>
      <c r="B69" s="3" t="s">
        <v>100</v>
      </c>
      <c r="C69" s="3" t="s">
        <v>35</v>
      </c>
      <c r="D69" s="3" t="s">
        <v>5</v>
      </c>
      <c r="E69" s="3" t="s">
        <v>70</v>
      </c>
      <c r="F69" s="3" t="s">
        <v>99</v>
      </c>
      <c r="G69" s="13"/>
      <c r="H69" s="3" t="s">
        <v>427</v>
      </c>
      <c r="I69" s="3" t="s">
        <v>73</v>
      </c>
      <c r="J69" s="3" t="s">
        <v>101</v>
      </c>
      <c r="K69" s="3" t="s">
        <v>459</v>
      </c>
      <c r="L69" s="3" t="s">
        <v>455</v>
      </c>
      <c r="M69" s="11" t="s">
        <v>460</v>
      </c>
      <c r="N69" s="10"/>
      <c r="O69" s="12" t="s">
        <v>39</v>
      </c>
      <c r="P69" s="12">
        <v>5.0</v>
      </c>
      <c r="Q69" s="2"/>
      <c r="R69" s="2">
        <f t="shared" si="1"/>
        <v>0</v>
      </c>
      <c r="S69" s="2"/>
      <c r="T69" s="2"/>
      <c r="U69" s="2"/>
      <c r="V69" s="2"/>
      <c r="W69" s="2"/>
      <c r="X69" s="2"/>
      <c r="Y69" s="2"/>
      <c r="Z69" s="2"/>
      <c r="AA69" s="2"/>
    </row>
    <row r="70">
      <c r="A70" s="3" t="s">
        <v>309</v>
      </c>
      <c r="B70" s="3" t="s">
        <v>104</v>
      </c>
      <c r="C70" s="3" t="s">
        <v>35</v>
      </c>
      <c r="D70" s="3" t="s">
        <v>5</v>
      </c>
      <c r="E70" s="3" t="s">
        <v>70</v>
      </c>
      <c r="F70" s="3" t="s">
        <v>103</v>
      </c>
      <c r="G70" s="13"/>
      <c r="H70" s="3" t="s">
        <v>427</v>
      </c>
      <c r="I70" s="3" t="s">
        <v>73</v>
      </c>
      <c r="J70" s="3" t="s">
        <v>105</v>
      </c>
      <c r="K70" s="3" t="s">
        <v>461</v>
      </c>
      <c r="L70" s="3" t="s">
        <v>455</v>
      </c>
      <c r="M70" s="11" t="s">
        <v>462</v>
      </c>
      <c r="N70" s="10"/>
      <c r="O70" s="12" t="s">
        <v>39</v>
      </c>
      <c r="P70" s="12">
        <v>5.0</v>
      </c>
      <c r="Q70" s="2"/>
      <c r="R70" s="2">
        <f t="shared" si="1"/>
        <v>0</v>
      </c>
      <c r="S70" s="2"/>
      <c r="T70" s="2"/>
      <c r="U70" s="2"/>
      <c r="V70" s="2"/>
      <c r="W70" s="2"/>
      <c r="X70" s="2"/>
      <c r="Y70" s="2"/>
      <c r="Z70" s="2"/>
      <c r="AA70" s="2"/>
    </row>
    <row r="71">
      <c r="A71" s="3" t="s">
        <v>310</v>
      </c>
      <c r="B71" s="3" t="s">
        <v>104</v>
      </c>
      <c r="C71" s="3" t="s">
        <v>35</v>
      </c>
      <c r="D71" s="3" t="s">
        <v>5</v>
      </c>
      <c r="E71" s="3" t="s">
        <v>70</v>
      </c>
      <c r="F71" s="3" t="s">
        <v>103</v>
      </c>
      <c r="G71" s="13"/>
      <c r="H71" s="3" t="s">
        <v>427</v>
      </c>
      <c r="I71" s="3" t="s">
        <v>73</v>
      </c>
      <c r="J71" s="3" t="s">
        <v>105</v>
      </c>
      <c r="K71" s="3" t="s">
        <v>463</v>
      </c>
      <c r="L71" s="3" t="s">
        <v>455</v>
      </c>
      <c r="M71" s="11" t="s">
        <v>464</v>
      </c>
      <c r="N71" s="10"/>
      <c r="O71" s="12" t="s">
        <v>465</v>
      </c>
      <c r="P71" s="12">
        <v>3.0</v>
      </c>
      <c r="Q71" s="2"/>
      <c r="R71" s="2">
        <f t="shared" si="1"/>
        <v>0</v>
      </c>
      <c r="S71" s="2"/>
      <c r="T71" s="2"/>
      <c r="U71" s="2"/>
      <c r="V71" s="2"/>
      <c r="W71" s="2"/>
      <c r="X71" s="2"/>
      <c r="Y71" s="2"/>
      <c r="Z71" s="2"/>
      <c r="AA71" s="2"/>
    </row>
    <row r="72">
      <c r="A72" s="3" t="s">
        <v>311</v>
      </c>
      <c r="B72" s="3" t="s">
        <v>104</v>
      </c>
      <c r="C72" s="3" t="s">
        <v>35</v>
      </c>
      <c r="D72" s="3" t="s">
        <v>5</v>
      </c>
      <c r="E72" s="3" t="s">
        <v>70</v>
      </c>
      <c r="F72" s="3" t="s">
        <v>103</v>
      </c>
      <c r="G72" s="13"/>
      <c r="H72" s="3" t="s">
        <v>427</v>
      </c>
      <c r="I72" s="3" t="s">
        <v>73</v>
      </c>
      <c r="J72" s="3" t="s">
        <v>105</v>
      </c>
      <c r="K72" s="3" t="s">
        <v>466</v>
      </c>
      <c r="L72" s="3" t="s">
        <v>455</v>
      </c>
      <c r="M72" s="11" t="s">
        <v>467</v>
      </c>
      <c r="N72" s="10"/>
      <c r="O72" s="12" t="s">
        <v>39</v>
      </c>
      <c r="P72" s="12">
        <v>5.0</v>
      </c>
      <c r="Q72" s="2"/>
      <c r="R72" s="2">
        <f t="shared" si="1"/>
        <v>0</v>
      </c>
      <c r="S72" s="2"/>
      <c r="T72" s="2"/>
      <c r="U72" s="2"/>
      <c r="V72" s="2"/>
      <c r="W72" s="2"/>
      <c r="X72" s="2"/>
      <c r="Y72" s="2"/>
      <c r="Z72" s="2"/>
      <c r="AA72" s="2"/>
    </row>
    <row r="73">
      <c r="A73" s="3" t="s">
        <v>312</v>
      </c>
      <c r="B73" s="3" t="s">
        <v>108</v>
      </c>
      <c r="C73" s="3" t="s">
        <v>35</v>
      </c>
      <c r="D73" s="3" t="s">
        <v>5</v>
      </c>
      <c r="E73" s="3" t="s">
        <v>70</v>
      </c>
      <c r="F73" s="3" t="s">
        <v>107</v>
      </c>
      <c r="G73" s="13"/>
      <c r="H73" s="3" t="s">
        <v>427</v>
      </c>
      <c r="I73" s="3" t="s">
        <v>73</v>
      </c>
      <c r="J73" s="3" t="s">
        <v>109</v>
      </c>
      <c r="K73" s="3" t="s">
        <v>468</v>
      </c>
      <c r="L73" s="3" t="s">
        <v>455</v>
      </c>
      <c r="M73" s="11" t="s">
        <v>469</v>
      </c>
      <c r="N73" s="10"/>
      <c r="O73" s="12" t="s">
        <v>39</v>
      </c>
      <c r="P73" s="12">
        <v>5.0</v>
      </c>
      <c r="Q73" s="2"/>
      <c r="R73" s="2">
        <f t="shared" si="1"/>
        <v>0</v>
      </c>
      <c r="S73" s="2"/>
      <c r="T73" s="2"/>
      <c r="U73" s="2"/>
      <c r="V73" s="2"/>
      <c r="W73" s="2"/>
      <c r="X73" s="2"/>
      <c r="Y73" s="2"/>
      <c r="Z73" s="2"/>
      <c r="AA73" s="2"/>
    </row>
    <row r="74">
      <c r="A74" s="3" t="s">
        <v>313</v>
      </c>
      <c r="B74" s="3" t="s">
        <v>108</v>
      </c>
      <c r="C74" s="3" t="s">
        <v>35</v>
      </c>
      <c r="D74" s="3" t="s">
        <v>5</v>
      </c>
      <c r="E74" s="3" t="s">
        <v>70</v>
      </c>
      <c r="F74" s="3" t="s">
        <v>107</v>
      </c>
      <c r="G74" s="13"/>
      <c r="H74" s="3" t="s">
        <v>427</v>
      </c>
      <c r="I74" s="3" t="s">
        <v>73</v>
      </c>
      <c r="J74" s="3" t="s">
        <v>109</v>
      </c>
      <c r="K74" s="3" t="s">
        <v>470</v>
      </c>
      <c r="L74" s="3" t="s">
        <v>455</v>
      </c>
      <c r="M74" s="11" t="s">
        <v>471</v>
      </c>
      <c r="N74" s="10"/>
      <c r="O74" s="12" t="s">
        <v>48</v>
      </c>
      <c r="P74" s="12">
        <v>8.0</v>
      </c>
      <c r="Q74" s="2"/>
      <c r="R74" s="2">
        <f t="shared" si="1"/>
        <v>0</v>
      </c>
      <c r="S74" s="2"/>
      <c r="T74" s="2"/>
      <c r="U74" s="2"/>
      <c r="V74" s="2"/>
      <c r="W74" s="2"/>
      <c r="X74" s="2"/>
      <c r="Y74" s="2"/>
      <c r="Z74" s="2"/>
      <c r="AA74" s="2"/>
    </row>
    <row r="75">
      <c r="A75" s="3" t="s">
        <v>314</v>
      </c>
      <c r="B75" s="3" t="s">
        <v>108</v>
      </c>
      <c r="C75" s="3" t="s">
        <v>35</v>
      </c>
      <c r="D75" s="3" t="s">
        <v>5</v>
      </c>
      <c r="E75" s="3" t="s">
        <v>70</v>
      </c>
      <c r="F75" s="3" t="s">
        <v>107</v>
      </c>
      <c r="G75" s="13"/>
      <c r="H75" s="3" t="s">
        <v>427</v>
      </c>
      <c r="I75" s="3" t="s">
        <v>73</v>
      </c>
      <c r="J75" s="3" t="s">
        <v>109</v>
      </c>
      <c r="K75" s="3" t="s">
        <v>472</v>
      </c>
      <c r="L75" s="3" t="s">
        <v>455</v>
      </c>
      <c r="M75" s="11" t="s">
        <v>473</v>
      </c>
      <c r="N75" s="10"/>
      <c r="O75" s="12" t="s">
        <v>48</v>
      </c>
      <c r="P75" s="12">
        <v>8.0</v>
      </c>
      <c r="Q75" s="2"/>
      <c r="R75" s="2">
        <f t="shared" si="1"/>
        <v>0</v>
      </c>
      <c r="S75" s="2"/>
      <c r="T75" s="2"/>
      <c r="U75" s="2"/>
      <c r="V75" s="2"/>
      <c r="W75" s="2"/>
      <c r="X75" s="2"/>
      <c r="Y75" s="2"/>
      <c r="Z75" s="2"/>
      <c r="AA75" s="2"/>
    </row>
    <row r="76">
      <c r="A76" s="3" t="s">
        <v>315</v>
      </c>
      <c r="B76" s="3" t="s">
        <v>112</v>
      </c>
      <c r="C76" s="3" t="s">
        <v>35</v>
      </c>
      <c r="D76" s="3" t="s">
        <v>5</v>
      </c>
      <c r="E76" s="3" t="s">
        <v>70</v>
      </c>
      <c r="F76" s="3" t="s">
        <v>111</v>
      </c>
      <c r="G76" s="13"/>
      <c r="H76" s="3" t="s">
        <v>427</v>
      </c>
      <c r="I76" s="3" t="s">
        <v>73</v>
      </c>
      <c r="J76" s="3" t="s">
        <v>113</v>
      </c>
      <c r="K76" s="3" t="s">
        <v>474</v>
      </c>
      <c r="L76" s="3" t="s">
        <v>455</v>
      </c>
      <c r="M76" s="11" t="s">
        <v>475</v>
      </c>
      <c r="N76" s="10"/>
      <c r="O76" s="12" t="s">
        <v>48</v>
      </c>
      <c r="P76" s="12">
        <v>8.0</v>
      </c>
      <c r="Q76" s="2"/>
      <c r="R76" s="2">
        <f t="shared" si="1"/>
        <v>0</v>
      </c>
      <c r="S76" s="2"/>
      <c r="T76" s="2"/>
      <c r="U76" s="2"/>
      <c r="V76" s="2"/>
      <c r="W76" s="2"/>
      <c r="X76" s="2"/>
      <c r="Y76" s="2"/>
      <c r="Z76" s="2"/>
      <c r="AA76" s="2"/>
    </row>
    <row r="77">
      <c r="A77" s="3" t="s">
        <v>316</v>
      </c>
      <c r="B77" s="3" t="s">
        <v>112</v>
      </c>
      <c r="C77" s="3" t="s">
        <v>35</v>
      </c>
      <c r="D77" s="3" t="s">
        <v>5</v>
      </c>
      <c r="E77" s="3" t="s">
        <v>70</v>
      </c>
      <c r="F77" s="3" t="s">
        <v>111</v>
      </c>
      <c r="G77" s="13"/>
      <c r="H77" s="3" t="s">
        <v>427</v>
      </c>
      <c r="I77" s="3" t="s">
        <v>73</v>
      </c>
      <c r="J77" s="3" t="s">
        <v>113</v>
      </c>
      <c r="K77" s="3" t="s">
        <v>476</v>
      </c>
      <c r="L77" s="3" t="s">
        <v>455</v>
      </c>
      <c r="M77" s="11" t="s">
        <v>477</v>
      </c>
      <c r="N77" s="10"/>
      <c r="O77" s="12" t="s">
        <v>39</v>
      </c>
      <c r="P77" s="12">
        <v>5.0</v>
      </c>
      <c r="Q77" s="2"/>
      <c r="R77" s="2">
        <f t="shared" si="1"/>
        <v>0</v>
      </c>
      <c r="S77" s="2"/>
      <c r="T77" s="2"/>
      <c r="U77" s="2"/>
      <c r="V77" s="2"/>
      <c r="W77" s="2"/>
      <c r="X77" s="2"/>
      <c r="Y77" s="2"/>
      <c r="Z77" s="2"/>
      <c r="AA77" s="2"/>
    </row>
    <row r="78">
      <c r="A78" s="3" t="s">
        <v>317</v>
      </c>
      <c r="B78" s="3" t="s">
        <v>112</v>
      </c>
      <c r="C78" s="3" t="s">
        <v>35</v>
      </c>
      <c r="D78" s="3" t="s">
        <v>5</v>
      </c>
      <c r="E78" s="3" t="s">
        <v>70</v>
      </c>
      <c r="F78" s="3" t="s">
        <v>111</v>
      </c>
      <c r="G78" s="13"/>
      <c r="H78" s="3" t="s">
        <v>427</v>
      </c>
      <c r="I78" s="3" t="s">
        <v>73</v>
      </c>
      <c r="J78" s="3" t="s">
        <v>113</v>
      </c>
      <c r="K78" s="3" t="s">
        <v>478</v>
      </c>
      <c r="L78" s="3" t="s">
        <v>455</v>
      </c>
      <c r="M78" s="11" t="s">
        <v>479</v>
      </c>
      <c r="N78" s="10"/>
      <c r="O78" s="12" t="s">
        <v>48</v>
      </c>
      <c r="P78" s="12">
        <v>8.0</v>
      </c>
      <c r="Q78" s="2"/>
      <c r="R78" s="2">
        <f t="shared" si="1"/>
        <v>0</v>
      </c>
      <c r="S78" s="2"/>
      <c r="T78" s="2"/>
      <c r="U78" s="2"/>
      <c r="V78" s="2"/>
      <c r="W78" s="2"/>
      <c r="X78" s="2"/>
      <c r="Y78" s="2"/>
      <c r="Z78" s="2"/>
      <c r="AA78" s="2"/>
    </row>
    <row r="79">
      <c r="A79" s="3" t="s">
        <v>318</v>
      </c>
      <c r="B79" s="3" t="s">
        <v>116</v>
      </c>
      <c r="C79" s="3" t="s">
        <v>35</v>
      </c>
      <c r="D79" s="3" t="s">
        <v>5</v>
      </c>
      <c r="E79" s="3" t="s">
        <v>70</v>
      </c>
      <c r="F79" s="3" t="s">
        <v>115</v>
      </c>
      <c r="G79" s="13"/>
      <c r="H79" s="3" t="s">
        <v>427</v>
      </c>
      <c r="I79" s="3" t="s">
        <v>73</v>
      </c>
      <c r="J79" s="3" t="s">
        <v>117</v>
      </c>
      <c r="K79" s="3" t="s">
        <v>480</v>
      </c>
      <c r="L79" s="3" t="s">
        <v>455</v>
      </c>
      <c r="M79" s="11" t="s">
        <v>481</v>
      </c>
      <c r="N79" s="10"/>
      <c r="O79" s="12" t="s">
        <v>39</v>
      </c>
      <c r="P79" s="12">
        <v>5.0</v>
      </c>
      <c r="Q79" s="2"/>
      <c r="R79" s="2">
        <f t="shared" si="1"/>
        <v>0</v>
      </c>
      <c r="S79" s="2"/>
      <c r="T79" s="2"/>
      <c r="U79" s="2"/>
      <c r="V79" s="2"/>
      <c r="W79" s="2"/>
      <c r="X79" s="2"/>
      <c r="Y79" s="2"/>
      <c r="Z79" s="2"/>
      <c r="AA79" s="2"/>
    </row>
    <row r="80">
      <c r="A80" s="3" t="s">
        <v>319</v>
      </c>
      <c r="B80" s="3" t="s">
        <v>116</v>
      </c>
      <c r="C80" s="3" t="s">
        <v>35</v>
      </c>
      <c r="D80" s="3" t="s">
        <v>5</v>
      </c>
      <c r="E80" s="3" t="s">
        <v>70</v>
      </c>
      <c r="F80" s="3" t="s">
        <v>115</v>
      </c>
      <c r="G80" s="13"/>
      <c r="H80" s="3" t="s">
        <v>427</v>
      </c>
      <c r="I80" s="3" t="s">
        <v>73</v>
      </c>
      <c r="J80" s="3" t="s">
        <v>117</v>
      </c>
      <c r="K80" s="3" t="s">
        <v>482</v>
      </c>
      <c r="L80" s="3" t="s">
        <v>455</v>
      </c>
      <c r="M80" s="11" t="s">
        <v>483</v>
      </c>
      <c r="N80" s="10"/>
      <c r="O80" s="12" t="s">
        <v>48</v>
      </c>
      <c r="P80" s="12">
        <v>8.0</v>
      </c>
      <c r="Q80" s="2"/>
      <c r="R80" s="2">
        <f t="shared" si="1"/>
        <v>0</v>
      </c>
      <c r="S80" s="2"/>
      <c r="T80" s="2"/>
      <c r="U80" s="2"/>
      <c r="V80" s="2"/>
      <c r="W80" s="2"/>
      <c r="X80" s="2"/>
      <c r="Y80" s="2"/>
      <c r="Z80" s="2"/>
      <c r="AA80" s="2"/>
    </row>
    <row r="81">
      <c r="A81" s="3" t="s">
        <v>320</v>
      </c>
      <c r="B81" s="3" t="s">
        <v>116</v>
      </c>
      <c r="C81" s="3" t="s">
        <v>35</v>
      </c>
      <c r="D81" s="3" t="s">
        <v>5</v>
      </c>
      <c r="E81" s="3" t="s">
        <v>70</v>
      </c>
      <c r="F81" s="3" t="s">
        <v>115</v>
      </c>
      <c r="G81" s="13"/>
      <c r="H81" s="3" t="s">
        <v>427</v>
      </c>
      <c r="I81" s="3" t="s">
        <v>73</v>
      </c>
      <c r="J81" s="3" t="s">
        <v>117</v>
      </c>
      <c r="K81" s="3" t="s">
        <v>484</v>
      </c>
      <c r="L81" s="3" t="s">
        <v>455</v>
      </c>
      <c r="M81" s="11" t="s">
        <v>485</v>
      </c>
      <c r="N81" s="10"/>
      <c r="O81" s="12" t="s">
        <v>39</v>
      </c>
      <c r="P81" s="12">
        <v>5.0</v>
      </c>
      <c r="Q81" s="2"/>
      <c r="R81" s="2">
        <f t="shared" si="1"/>
        <v>0</v>
      </c>
      <c r="S81" s="2"/>
      <c r="T81" s="2"/>
      <c r="U81" s="2"/>
      <c r="V81" s="2"/>
      <c r="W81" s="2"/>
      <c r="X81" s="2"/>
      <c r="Y81" s="2"/>
      <c r="Z81" s="2"/>
      <c r="AA81" s="2"/>
    </row>
    <row r="82">
      <c r="A82" s="3" t="s">
        <v>321</v>
      </c>
      <c r="B82" s="3" t="s">
        <v>120</v>
      </c>
      <c r="C82" s="3" t="s">
        <v>35</v>
      </c>
      <c r="D82" s="3" t="s">
        <v>5</v>
      </c>
      <c r="E82" s="3" t="s">
        <v>70</v>
      </c>
      <c r="F82" s="3" t="s">
        <v>119</v>
      </c>
      <c r="G82" s="13"/>
      <c r="H82" s="3" t="s">
        <v>427</v>
      </c>
      <c r="I82" s="3" t="s">
        <v>73</v>
      </c>
      <c r="J82" s="3" t="s">
        <v>121</v>
      </c>
      <c r="K82" s="3" t="s">
        <v>486</v>
      </c>
      <c r="L82" s="3" t="s">
        <v>455</v>
      </c>
      <c r="M82" s="11" t="s">
        <v>487</v>
      </c>
      <c r="N82" s="10"/>
      <c r="O82" s="12" t="s">
        <v>39</v>
      </c>
      <c r="P82" s="12">
        <v>5.0</v>
      </c>
      <c r="Q82" s="2"/>
      <c r="R82" s="2">
        <f t="shared" si="1"/>
        <v>0</v>
      </c>
      <c r="S82" s="2"/>
      <c r="T82" s="2"/>
      <c r="U82" s="2"/>
      <c r="V82" s="2"/>
      <c r="W82" s="2"/>
      <c r="X82" s="2"/>
      <c r="Y82" s="2"/>
      <c r="Z82" s="2"/>
      <c r="AA82" s="2"/>
    </row>
    <row r="83">
      <c r="A83" s="3" t="s">
        <v>322</v>
      </c>
      <c r="B83" s="3" t="s">
        <v>120</v>
      </c>
      <c r="C83" s="3" t="s">
        <v>35</v>
      </c>
      <c r="D83" s="3" t="s">
        <v>5</v>
      </c>
      <c r="E83" s="3" t="s">
        <v>70</v>
      </c>
      <c r="F83" s="3" t="s">
        <v>119</v>
      </c>
      <c r="G83" s="13"/>
      <c r="H83" s="3" t="s">
        <v>427</v>
      </c>
      <c r="I83" s="3" t="s">
        <v>73</v>
      </c>
      <c r="J83" s="3" t="s">
        <v>121</v>
      </c>
      <c r="K83" s="3" t="s">
        <v>488</v>
      </c>
      <c r="L83" s="3" t="s">
        <v>455</v>
      </c>
      <c r="M83" s="11" t="s">
        <v>489</v>
      </c>
      <c r="N83" s="10"/>
      <c r="O83" s="12" t="s">
        <v>39</v>
      </c>
      <c r="P83" s="12">
        <v>5.0</v>
      </c>
      <c r="Q83" s="2"/>
      <c r="R83" s="2">
        <f t="shared" si="1"/>
        <v>0</v>
      </c>
      <c r="S83" s="2"/>
      <c r="T83" s="2"/>
      <c r="U83" s="2"/>
      <c r="V83" s="2"/>
      <c r="W83" s="2"/>
      <c r="X83" s="2"/>
      <c r="Y83" s="2"/>
      <c r="Z83" s="2"/>
      <c r="AA83" s="2"/>
    </row>
    <row r="84">
      <c r="A84" s="3" t="s">
        <v>323</v>
      </c>
      <c r="B84" s="3" t="s">
        <v>120</v>
      </c>
      <c r="C84" s="3" t="s">
        <v>35</v>
      </c>
      <c r="D84" s="3" t="s">
        <v>5</v>
      </c>
      <c r="E84" s="3" t="s">
        <v>70</v>
      </c>
      <c r="F84" s="3" t="s">
        <v>119</v>
      </c>
      <c r="G84" s="13"/>
      <c r="H84" s="3" t="s">
        <v>427</v>
      </c>
      <c r="I84" s="3" t="s">
        <v>73</v>
      </c>
      <c r="J84" s="3" t="s">
        <v>121</v>
      </c>
      <c r="K84" s="3" t="s">
        <v>490</v>
      </c>
      <c r="L84" s="3" t="s">
        <v>455</v>
      </c>
      <c r="M84" s="11" t="s">
        <v>491</v>
      </c>
      <c r="N84" s="10"/>
      <c r="O84" s="12" t="s">
        <v>39</v>
      </c>
      <c r="P84" s="12">
        <v>5.0</v>
      </c>
      <c r="Q84" s="2"/>
      <c r="R84" s="2">
        <f t="shared" si="1"/>
        <v>0</v>
      </c>
      <c r="S84" s="2"/>
      <c r="T84" s="2"/>
      <c r="U84" s="2"/>
      <c r="V84" s="2"/>
      <c r="W84" s="2"/>
      <c r="X84" s="2"/>
      <c r="Y84" s="2"/>
      <c r="Z84" s="2"/>
      <c r="AA84" s="2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0"/>
      <c r="N85" s="10"/>
      <c r="O85" s="15"/>
      <c r="P85" s="15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0"/>
      <c r="N86" s="10"/>
      <c r="O86" s="15"/>
      <c r="P86" s="1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0"/>
      <c r="N87" s="10"/>
      <c r="O87" s="15"/>
      <c r="P87" s="1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0"/>
      <c r="N88" s="10"/>
      <c r="O88" s="15"/>
      <c r="P88" s="15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0"/>
      <c r="N89" s="10"/>
      <c r="O89" s="15"/>
      <c r="P89" s="1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0"/>
      <c r="N90" s="10"/>
      <c r="O90" s="15"/>
      <c r="P90" s="1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0"/>
      <c r="N91" s="10"/>
      <c r="O91" s="15"/>
      <c r="P91" s="1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0"/>
      <c r="N92" s="10"/>
      <c r="O92" s="15"/>
      <c r="P92" s="15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0"/>
      <c r="N93" s="10"/>
      <c r="O93" s="15"/>
      <c r="P93" s="1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0"/>
      <c r="N94" s="10"/>
      <c r="O94" s="15"/>
      <c r="P94" s="1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0"/>
      <c r="N95" s="10"/>
      <c r="O95" s="15"/>
      <c r="P95" s="1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0"/>
      <c r="N96" s="10"/>
      <c r="O96" s="15"/>
      <c r="P96" s="1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0"/>
      <c r="N97" s="10"/>
      <c r="O97" s="15"/>
      <c r="P97" s="15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0"/>
      <c r="N98" s="10"/>
      <c r="O98" s="15"/>
      <c r="P98" s="15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0"/>
      <c r="N99" s="10"/>
      <c r="O99" s="15"/>
      <c r="P99" s="15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0"/>
      <c r="N100" s="10"/>
      <c r="O100" s="15"/>
      <c r="P100" s="15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0"/>
      <c r="N101" s="10"/>
      <c r="O101" s="15"/>
      <c r="P101" s="15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0"/>
      <c r="N102" s="10"/>
      <c r="O102" s="15"/>
      <c r="P102" s="15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0"/>
      <c r="N103" s="10"/>
      <c r="O103" s="15"/>
      <c r="P103" s="1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0"/>
      <c r="N104" s="10"/>
      <c r="O104" s="15"/>
      <c r="P104" s="15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0"/>
      <c r="N105" s="10"/>
      <c r="O105" s="15"/>
      <c r="P105" s="15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0"/>
      <c r="N106" s="10"/>
      <c r="O106" s="15"/>
      <c r="P106" s="15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0"/>
      <c r="N107" s="10"/>
      <c r="O107" s="15"/>
      <c r="P107" s="15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0"/>
      <c r="N108" s="10"/>
      <c r="O108" s="15"/>
      <c r="P108" s="15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0"/>
      <c r="N109" s="10"/>
      <c r="O109" s="15"/>
      <c r="P109" s="15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0"/>
      <c r="N110" s="10"/>
      <c r="O110" s="15"/>
      <c r="P110" s="15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0"/>
      <c r="N111" s="10"/>
      <c r="O111" s="15"/>
      <c r="P111" s="15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0"/>
      <c r="N112" s="10"/>
      <c r="O112" s="15"/>
      <c r="P112" s="15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0"/>
      <c r="N113" s="10"/>
      <c r="O113" s="15"/>
      <c r="P113" s="15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5"/>
      <c r="N114" s="15"/>
      <c r="O114" s="15"/>
      <c r="P114" s="1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5"/>
      <c r="N115" s="15"/>
      <c r="O115" s="15"/>
      <c r="P115" s="1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5"/>
      <c r="N116" s="15"/>
      <c r="O116" s="15"/>
      <c r="P116" s="15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5"/>
      <c r="N117" s="15"/>
      <c r="O117" s="15"/>
      <c r="P117" s="15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5"/>
      <c r="N118" s="15"/>
      <c r="O118" s="15"/>
      <c r="P118" s="15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5"/>
      <c r="N119" s="15"/>
      <c r="O119" s="15"/>
      <c r="P119" s="1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5"/>
      <c r="N120" s="15"/>
      <c r="O120" s="15"/>
      <c r="P120" s="15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5"/>
      <c r="N121" s="15"/>
      <c r="O121" s="15"/>
      <c r="P121" s="15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5"/>
      <c r="N122" s="15"/>
      <c r="O122" s="15"/>
      <c r="P122" s="15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5"/>
      <c r="N123" s="15"/>
      <c r="O123" s="15"/>
      <c r="P123" s="15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5"/>
      <c r="N124" s="15"/>
      <c r="O124" s="15"/>
      <c r="P124" s="15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5"/>
      <c r="N125" s="15"/>
      <c r="O125" s="15"/>
      <c r="P125" s="1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5"/>
      <c r="N126" s="15"/>
      <c r="O126" s="15"/>
      <c r="P126" s="15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5"/>
      <c r="N127" s="15"/>
      <c r="O127" s="15"/>
      <c r="P127" s="15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5"/>
      <c r="N128" s="15"/>
      <c r="O128" s="15"/>
      <c r="P128" s="15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5"/>
      <c r="N129" s="15"/>
      <c r="O129" s="15"/>
      <c r="P129" s="1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5"/>
      <c r="N130" s="15"/>
      <c r="O130" s="15"/>
      <c r="P130" s="15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5"/>
      <c r="N131" s="15"/>
      <c r="O131" s="15"/>
      <c r="P131" s="1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5"/>
      <c r="N132" s="15"/>
      <c r="O132" s="15"/>
      <c r="P132" s="1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5"/>
      <c r="N133" s="15"/>
      <c r="O133" s="15"/>
      <c r="P133" s="15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5"/>
      <c r="N134" s="15"/>
      <c r="O134" s="15"/>
      <c r="P134" s="15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5"/>
      <c r="N135" s="15"/>
      <c r="O135" s="15"/>
      <c r="P135" s="15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5"/>
      <c r="N136" s="15"/>
      <c r="O136" s="15"/>
      <c r="P136" s="1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5"/>
      <c r="N137" s="15"/>
      <c r="O137" s="15"/>
      <c r="P137" s="1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5"/>
      <c r="N138" s="15"/>
      <c r="O138" s="15"/>
      <c r="P138" s="1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5"/>
      <c r="N139" s="15"/>
      <c r="O139" s="15"/>
      <c r="P139" s="15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5"/>
      <c r="N140" s="15"/>
      <c r="O140" s="15"/>
      <c r="P140" s="15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5"/>
      <c r="N141" s="15"/>
      <c r="O141" s="15"/>
      <c r="P141" s="15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5"/>
      <c r="N142" s="15"/>
      <c r="O142" s="15"/>
      <c r="P142" s="15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5"/>
      <c r="N143" s="15"/>
      <c r="O143" s="15"/>
      <c r="P143" s="1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5"/>
      <c r="N144" s="15"/>
      <c r="O144" s="15"/>
      <c r="P144" s="15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5"/>
      <c r="N145" s="15"/>
      <c r="O145" s="15"/>
      <c r="P145" s="15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5"/>
      <c r="N146" s="15"/>
      <c r="O146" s="15"/>
      <c r="P146" s="15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5"/>
      <c r="N147" s="15"/>
      <c r="O147" s="15"/>
      <c r="P147" s="15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5"/>
      <c r="N148" s="15"/>
      <c r="O148" s="15"/>
      <c r="P148" s="15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5"/>
      <c r="N149" s="15"/>
      <c r="O149" s="15"/>
      <c r="P149" s="15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5"/>
      <c r="N150" s="15"/>
      <c r="O150" s="15"/>
      <c r="P150" s="15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5"/>
      <c r="N151" s="15"/>
      <c r="O151" s="15"/>
      <c r="P151" s="15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5"/>
      <c r="N152" s="15"/>
      <c r="O152" s="15"/>
      <c r="P152" s="15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5"/>
      <c r="N153" s="15"/>
      <c r="O153" s="15"/>
      <c r="P153" s="15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5"/>
      <c r="N154" s="15"/>
      <c r="O154" s="15"/>
      <c r="P154" s="15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5"/>
      <c r="N155" s="15"/>
      <c r="O155" s="15"/>
      <c r="P155" s="15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5"/>
      <c r="N156" s="15"/>
      <c r="O156" s="15"/>
      <c r="P156" s="15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5"/>
      <c r="N157" s="15"/>
      <c r="O157" s="15"/>
      <c r="P157" s="15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5"/>
      <c r="N158" s="15"/>
      <c r="O158" s="15"/>
      <c r="P158" s="15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5"/>
      <c r="N159" s="15"/>
      <c r="O159" s="15"/>
      <c r="P159" s="15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5"/>
      <c r="N160" s="15"/>
      <c r="O160" s="15"/>
      <c r="P160" s="15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5"/>
      <c r="N161" s="15"/>
      <c r="O161" s="15"/>
      <c r="P161" s="15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5"/>
      <c r="N162" s="15"/>
      <c r="O162" s="15"/>
      <c r="P162" s="15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5"/>
      <c r="N163" s="15"/>
      <c r="O163" s="15"/>
      <c r="P163" s="15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5"/>
      <c r="N164" s="15"/>
      <c r="O164" s="15"/>
      <c r="P164" s="15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5"/>
      <c r="N165" s="15"/>
      <c r="O165" s="15"/>
      <c r="P165" s="15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5"/>
      <c r="N166" s="15"/>
      <c r="O166" s="15"/>
      <c r="P166" s="15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5"/>
      <c r="N167" s="15"/>
      <c r="O167" s="15"/>
      <c r="P167" s="1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5"/>
      <c r="N168" s="15"/>
      <c r="O168" s="15"/>
      <c r="P168" s="15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5"/>
      <c r="N169" s="15"/>
      <c r="O169" s="15"/>
      <c r="P169" s="15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5"/>
      <c r="N170" s="15"/>
      <c r="O170" s="15"/>
      <c r="P170" s="1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5"/>
      <c r="N171" s="15"/>
      <c r="O171" s="15"/>
      <c r="P171" s="15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5"/>
      <c r="N172" s="15"/>
      <c r="O172" s="15"/>
      <c r="P172" s="15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5"/>
      <c r="N173" s="15"/>
      <c r="O173" s="15"/>
      <c r="P173" s="1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5"/>
      <c r="N174" s="15"/>
      <c r="O174" s="15"/>
      <c r="P174" s="15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5"/>
      <c r="N175" s="15"/>
      <c r="O175" s="15"/>
      <c r="P175" s="15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5"/>
      <c r="N176" s="15"/>
      <c r="O176" s="15"/>
      <c r="P176" s="15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5"/>
      <c r="N177" s="15"/>
      <c r="O177" s="15"/>
      <c r="P177" s="15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5"/>
      <c r="N178" s="15"/>
      <c r="O178" s="15"/>
      <c r="P178" s="15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5"/>
      <c r="N179" s="15"/>
      <c r="O179" s="15"/>
      <c r="P179" s="15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5"/>
      <c r="N180" s="15"/>
      <c r="O180" s="15"/>
      <c r="P180" s="1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5"/>
      <c r="N181" s="15"/>
      <c r="O181" s="15"/>
      <c r="P181" s="15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5"/>
      <c r="N182" s="15"/>
      <c r="O182" s="15"/>
      <c r="P182" s="15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5"/>
      <c r="N183" s="15"/>
      <c r="O183" s="15"/>
      <c r="P183" s="15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5"/>
      <c r="N184" s="15"/>
      <c r="O184" s="15"/>
      <c r="P184" s="15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5"/>
      <c r="N185" s="15"/>
      <c r="O185" s="15"/>
      <c r="P185" s="15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5"/>
      <c r="N186" s="15"/>
      <c r="O186" s="15"/>
      <c r="P186" s="15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5"/>
      <c r="N187" s="15"/>
      <c r="O187" s="15"/>
      <c r="P187" s="15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5"/>
      <c r="N188" s="15"/>
      <c r="O188" s="15"/>
      <c r="P188" s="15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5"/>
      <c r="N189" s="15"/>
      <c r="O189" s="15"/>
      <c r="P189" s="15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5"/>
      <c r="N190" s="15"/>
      <c r="O190" s="15"/>
      <c r="P190" s="15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5"/>
      <c r="N191" s="15"/>
      <c r="O191" s="15"/>
      <c r="P191" s="15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5"/>
      <c r="N192" s="15"/>
      <c r="O192" s="15"/>
      <c r="P192" s="1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5"/>
      <c r="N193" s="15"/>
      <c r="O193" s="15"/>
      <c r="P193" s="15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5"/>
      <c r="N194" s="15"/>
      <c r="O194" s="15"/>
      <c r="P194" s="15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5"/>
      <c r="N195" s="15"/>
      <c r="O195" s="15"/>
      <c r="P195" s="15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5"/>
      <c r="N196" s="15"/>
      <c r="O196" s="15"/>
      <c r="P196" s="15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5"/>
      <c r="N197" s="15"/>
      <c r="O197" s="15"/>
      <c r="P197" s="15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5"/>
      <c r="N198" s="15"/>
      <c r="O198" s="15"/>
      <c r="P198" s="1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5"/>
      <c r="N199" s="15"/>
      <c r="O199" s="15"/>
      <c r="P199" s="15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5"/>
      <c r="N200" s="15"/>
      <c r="O200" s="15"/>
      <c r="P200" s="15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5"/>
      <c r="N201" s="15"/>
      <c r="O201" s="15"/>
      <c r="P201" s="15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5"/>
      <c r="N202" s="15"/>
      <c r="O202" s="15"/>
      <c r="P202" s="15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5"/>
      <c r="N203" s="15"/>
      <c r="O203" s="15"/>
      <c r="P203" s="15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5"/>
      <c r="N204" s="15"/>
      <c r="O204" s="15"/>
      <c r="P204" s="15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5"/>
      <c r="N205" s="15"/>
      <c r="O205" s="15"/>
      <c r="P205" s="15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5"/>
      <c r="N206" s="15"/>
      <c r="O206" s="15"/>
      <c r="P206" s="15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5"/>
      <c r="N207" s="15"/>
      <c r="O207" s="15"/>
      <c r="P207" s="15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5"/>
      <c r="N208" s="15"/>
      <c r="O208" s="15"/>
      <c r="P208" s="15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5"/>
      <c r="N209" s="15"/>
      <c r="O209" s="15"/>
      <c r="P209" s="15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5"/>
      <c r="N210" s="15"/>
      <c r="O210" s="15"/>
      <c r="P210" s="15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5"/>
      <c r="N211" s="15"/>
      <c r="O211" s="15"/>
      <c r="P211" s="15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5"/>
      <c r="N212" s="15"/>
      <c r="O212" s="15"/>
      <c r="P212" s="15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5"/>
      <c r="N213" s="15"/>
      <c r="O213" s="15"/>
      <c r="P213" s="15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5"/>
      <c r="N214" s="15"/>
      <c r="O214" s="15"/>
      <c r="P214" s="15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5"/>
      <c r="N215" s="15"/>
      <c r="O215" s="15"/>
      <c r="P215" s="1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5"/>
      <c r="N216" s="15"/>
      <c r="O216" s="15"/>
      <c r="P216" s="15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5"/>
      <c r="N217" s="15"/>
      <c r="O217" s="15"/>
      <c r="P217" s="15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5"/>
      <c r="N218" s="15"/>
      <c r="O218" s="15"/>
      <c r="P218" s="15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5"/>
      <c r="N219" s="15"/>
      <c r="O219" s="15"/>
      <c r="P219" s="15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5"/>
      <c r="N220" s="15"/>
      <c r="O220" s="15"/>
      <c r="P220" s="15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4.38"/>
    <col customWidth="1" min="2" max="2" width="22.88"/>
    <col customWidth="1" min="3" max="3" width="9.13"/>
    <col customWidth="1" min="4" max="4" width="14.75"/>
    <col customWidth="1" min="5" max="5" width="12.63"/>
    <col customWidth="1" min="6" max="33" width="10.88"/>
  </cols>
  <sheetData>
    <row r="1">
      <c r="A1" s="53"/>
      <c r="B1" s="53"/>
      <c r="C1" s="54"/>
      <c r="D1" s="54"/>
      <c r="E1" s="53"/>
      <c r="F1" s="54"/>
      <c r="G1" s="54"/>
      <c r="H1" s="54"/>
      <c r="I1" s="54"/>
      <c r="J1" s="55"/>
      <c r="K1" s="54"/>
      <c r="L1" s="54"/>
      <c r="M1" s="54"/>
      <c r="N1" s="54"/>
      <c r="O1" s="54"/>
      <c r="P1" s="54"/>
      <c r="Q1" s="55"/>
      <c r="R1" s="54"/>
      <c r="S1" s="54"/>
      <c r="T1" s="54"/>
      <c r="U1" s="54"/>
      <c r="V1" s="54"/>
      <c r="W1" s="55"/>
      <c r="X1" s="54"/>
      <c r="Y1" s="54"/>
      <c r="Z1" s="54"/>
      <c r="AA1" s="54"/>
      <c r="AB1" s="54"/>
      <c r="AC1" s="55"/>
      <c r="AD1" s="54"/>
      <c r="AE1" s="54"/>
      <c r="AF1" s="54"/>
      <c r="AG1" s="54"/>
      <c r="AH1" s="53"/>
      <c r="AI1" s="53"/>
      <c r="AJ1" s="53"/>
      <c r="AK1" s="53"/>
      <c r="AL1" s="53"/>
      <c r="AM1" s="53"/>
    </row>
    <row r="2">
      <c r="A2" s="56"/>
      <c r="B2" s="57"/>
      <c r="E2" s="53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3"/>
      <c r="AI2" s="53"/>
      <c r="AJ2" s="53"/>
      <c r="AK2" s="53"/>
      <c r="AL2" s="53"/>
      <c r="AM2" s="53"/>
    </row>
    <row r="3">
      <c r="A3" s="56"/>
      <c r="B3" s="56"/>
      <c r="C3" s="56"/>
      <c r="D3" s="56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3"/>
      <c r="AI3" s="53"/>
      <c r="AJ3" s="53"/>
      <c r="AK3" s="53"/>
      <c r="AL3" s="53"/>
      <c r="AM3" s="53"/>
    </row>
    <row r="4">
      <c r="A4" s="56"/>
      <c r="B4" s="57" t="s">
        <v>492</v>
      </c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3"/>
      <c r="AI4" s="53"/>
      <c r="AJ4" s="53"/>
      <c r="AK4" s="53"/>
      <c r="AL4" s="53"/>
      <c r="AM4" s="53"/>
    </row>
    <row r="5">
      <c r="A5" s="58"/>
      <c r="B5" s="58"/>
      <c r="C5" s="59"/>
      <c r="D5" s="58" t="s">
        <v>493</v>
      </c>
      <c r="E5" s="60"/>
      <c r="F5" s="61" t="s">
        <v>494</v>
      </c>
      <c r="G5" s="62" t="s">
        <v>495</v>
      </c>
      <c r="H5" s="62" t="s">
        <v>495</v>
      </c>
      <c r="I5" s="62" t="s">
        <v>495</v>
      </c>
      <c r="J5" s="62" t="s">
        <v>495</v>
      </c>
      <c r="K5" s="62" t="s">
        <v>495</v>
      </c>
      <c r="L5" s="62" t="s">
        <v>495</v>
      </c>
      <c r="M5" s="62" t="s">
        <v>495</v>
      </c>
      <c r="N5" s="63" t="s">
        <v>496</v>
      </c>
      <c r="O5" s="63" t="s">
        <v>496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5"/>
      <c r="AI5" s="65"/>
      <c r="AJ5" s="65"/>
      <c r="AK5" s="65"/>
      <c r="AL5" s="65"/>
      <c r="AM5" s="65"/>
    </row>
    <row r="6">
      <c r="A6" s="66"/>
      <c r="B6" s="67" t="s">
        <v>497</v>
      </c>
      <c r="C6" s="68" t="s">
        <v>498</v>
      </c>
      <c r="D6" s="69" t="s">
        <v>499</v>
      </c>
      <c r="E6" s="70" t="s">
        <v>500</v>
      </c>
      <c r="F6" s="71" t="s">
        <v>501</v>
      </c>
      <c r="G6" s="71" t="s">
        <v>502</v>
      </c>
      <c r="H6" s="71" t="s">
        <v>503</v>
      </c>
      <c r="I6" s="71" t="s">
        <v>504</v>
      </c>
      <c r="J6" s="71" t="s">
        <v>505</v>
      </c>
      <c r="K6" s="71" t="s">
        <v>506</v>
      </c>
      <c r="L6" s="71" t="s">
        <v>507</v>
      </c>
      <c r="M6" s="71" t="s">
        <v>508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53"/>
      <c r="AI6" s="53"/>
      <c r="AJ6" s="53"/>
      <c r="AK6" s="53"/>
      <c r="AL6" s="53"/>
      <c r="AM6" s="53"/>
    </row>
    <row r="7">
      <c r="A7" s="54"/>
      <c r="B7" s="72" t="s">
        <v>509</v>
      </c>
      <c r="C7" s="73">
        <f t="shared" ref="C7:C19" si="1">SUM(F7:AG7)</f>
        <v>30</v>
      </c>
      <c r="D7" s="74">
        <f t="shared" ref="D7:D19" si="2">C7*E7</f>
        <v>8250</v>
      </c>
      <c r="E7" s="75">
        <v>275.0</v>
      </c>
      <c r="F7" s="76">
        <v>5.0</v>
      </c>
      <c r="G7" s="76">
        <v>5.0</v>
      </c>
      <c r="H7" s="76">
        <v>5.0</v>
      </c>
      <c r="I7" s="76">
        <v>5.0</v>
      </c>
      <c r="J7" s="76">
        <v>5.0</v>
      </c>
      <c r="K7" s="76">
        <v>5.0</v>
      </c>
      <c r="L7" s="77"/>
      <c r="M7" s="77"/>
      <c r="N7" s="78"/>
      <c r="O7" s="79"/>
      <c r="P7" s="79"/>
      <c r="Q7" s="79"/>
      <c r="R7" s="80"/>
      <c r="S7" s="77"/>
      <c r="T7" s="77"/>
      <c r="U7" s="77"/>
      <c r="V7" s="77"/>
      <c r="W7" s="81"/>
      <c r="X7" s="80"/>
      <c r="Y7" s="77"/>
      <c r="Z7" s="77"/>
      <c r="AA7" s="77"/>
      <c r="AB7" s="77"/>
      <c r="AC7" s="81"/>
      <c r="AD7" s="80"/>
      <c r="AE7" s="77"/>
      <c r="AF7" s="77"/>
      <c r="AG7" s="77"/>
      <c r="AH7" s="53"/>
      <c r="AI7" s="53"/>
      <c r="AJ7" s="53"/>
      <c r="AK7" s="82"/>
      <c r="AL7" s="53"/>
      <c r="AM7" s="53"/>
    </row>
    <row r="8">
      <c r="A8" s="54"/>
      <c r="B8" s="72" t="s">
        <v>510</v>
      </c>
      <c r="C8" s="73">
        <f t="shared" si="1"/>
        <v>120</v>
      </c>
      <c r="D8" s="74">
        <f t="shared" si="2"/>
        <v>31200</v>
      </c>
      <c r="E8" s="75">
        <v>260.0</v>
      </c>
      <c r="F8" s="76">
        <v>20.0</v>
      </c>
      <c r="G8" s="76">
        <v>20.0</v>
      </c>
      <c r="H8" s="76">
        <v>20.0</v>
      </c>
      <c r="I8" s="76">
        <v>20.0</v>
      </c>
      <c r="J8" s="76">
        <v>20.0</v>
      </c>
      <c r="K8" s="76">
        <v>20.0</v>
      </c>
      <c r="L8" s="77"/>
      <c r="M8" s="77"/>
      <c r="N8" s="80"/>
      <c r="O8" s="77"/>
      <c r="P8" s="77"/>
      <c r="Q8" s="81"/>
      <c r="R8" s="80"/>
      <c r="S8" s="77"/>
      <c r="T8" s="77"/>
      <c r="U8" s="77"/>
      <c r="V8" s="77"/>
      <c r="W8" s="81"/>
      <c r="X8" s="80"/>
      <c r="Y8" s="77"/>
      <c r="Z8" s="77"/>
      <c r="AA8" s="77"/>
      <c r="AB8" s="77"/>
      <c r="AC8" s="81"/>
      <c r="AD8" s="80"/>
      <c r="AE8" s="77"/>
      <c r="AF8" s="77"/>
      <c r="AG8" s="77"/>
      <c r="AH8" s="53"/>
      <c r="AI8" s="53"/>
      <c r="AJ8" s="53"/>
      <c r="AK8" s="53"/>
      <c r="AL8" s="53"/>
      <c r="AM8" s="53"/>
    </row>
    <row r="9">
      <c r="A9" s="54"/>
      <c r="B9" s="72" t="s">
        <v>511</v>
      </c>
      <c r="C9" s="73">
        <f t="shared" si="1"/>
        <v>480</v>
      </c>
      <c r="D9" s="74">
        <f t="shared" si="2"/>
        <v>110400</v>
      </c>
      <c r="E9" s="75">
        <v>230.0</v>
      </c>
      <c r="F9" s="76">
        <v>80.0</v>
      </c>
      <c r="G9" s="76">
        <v>80.0</v>
      </c>
      <c r="H9" s="76">
        <v>80.0</v>
      </c>
      <c r="I9" s="76">
        <v>80.0</v>
      </c>
      <c r="J9" s="76">
        <v>80.0</v>
      </c>
      <c r="K9" s="76">
        <v>80.0</v>
      </c>
      <c r="L9" s="77"/>
      <c r="M9" s="77"/>
      <c r="N9" s="80"/>
      <c r="O9" s="77"/>
      <c r="P9" s="77"/>
      <c r="Q9" s="81"/>
      <c r="R9" s="80"/>
      <c r="S9" s="77"/>
      <c r="T9" s="77"/>
      <c r="U9" s="77"/>
      <c r="V9" s="77"/>
      <c r="W9" s="81"/>
      <c r="X9" s="80"/>
      <c r="Y9" s="77"/>
      <c r="Z9" s="77"/>
      <c r="AA9" s="77"/>
      <c r="AB9" s="77"/>
      <c r="AC9" s="81"/>
      <c r="AD9" s="80"/>
      <c r="AE9" s="77"/>
      <c r="AF9" s="77"/>
      <c r="AG9" s="77"/>
      <c r="AH9" s="53"/>
      <c r="AI9" s="53"/>
      <c r="AJ9" s="53"/>
      <c r="AK9" s="53"/>
      <c r="AL9" s="53"/>
      <c r="AM9" s="53"/>
    </row>
    <row r="10">
      <c r="A10" s="54"/>
      <c r="B10" s="72" t="s">
        <v>512</v>
      </c>
      <c r="C10" s="73">
        <f t="shared" si="1"/>
        <v>160</v>
      </c>
      <c r="D10" s="74">
        <f t="shared" si="2"/>
        <v>32000</v>
      </c>
      <c r="E10" s="75">
        <v>200.0</v>
      </c>
      <c r="F10" s="76">
        <v>80.0</v>
      </c>
      <c r="G10" s="76">
        <v>80.0</v>
      </c>
      <c r="H10" s="76"/>
      <c r="I10" s="76"/>
      <c r="J10" s="76"/>
      <c r="K10" s="76"/>
      <c r="L10" s="77"/>
      <c r="M10" s="77"/>
      <c r="N10" s="80"/>
      <c r="O10" s="77"/>
      <c r="P10" s="77"/>
      <c r="Q10" s="81"/>
      <c r="R10" s="80"/>
      <c r="S10" s="77"/>
      <c r="T10" s="77"/>
      <c r="U10" s="77"/>
      <c r="V10" s="77"/>
      <c r="W10" s="81"/>
      <c r="X10" s="80"/>
      <c r="Y10" s="77"/>
      <c r="Z10" s="77"/>
      <c r="AA10" s="77"/>
      <c r="AB10" s="77"/>
      <c r="AC10" s="81"/>
      <c r="AD10" s="80"/>
      <c r="AE10" s="77"/>
      <c r="AF10" s="77"/>
      <c r="AG10" s="77"/>
      <c r="AH10" s="53"/>
      <c r="AI10" s="53"/>
      <c r="AJ10" s="53"/>
      <c r="AK10" s="53"/>
      <c r="AL10" s="53"/>
      <c r="AM10" s="53"/>
    </row>
    <row r="11">
      <c r="A11" s="54"/>
      <c r="B11" s="72" t="s">
        <v>513</v>
      </c>
      <c r="C11" s="73">
        <f t="shared" si="1"/>
        <v>0</v>
      </c>
      <c r="D11" s="74">
        <f t="shared" si="2"/>
        <v>0</v>
      </c>
      <c r="E11" s="75">
        <v>190.0</v>
      </c>
      <c r="F11" s="77"/>
      <c r="G11" s="77"/>
      <c r="H11" s="77"/>
      <c r="I11" s="77"/>
      <c r="J11" s="77"/>
      <c r="K11" s="77"/>
      <c r="L11" s="77"/>
      <c r="M11" s="77"/>
      <c r="N11" s="80"/>
      <c r="O11" s="77"/>
      <c r="P11" s="77"/>
      <c r="Q11" s="81"/>
      <c r="R11" s="80"/>
      <c r="S11" s="77"/>
      <c r="T11" s="77"/>
      <c r="U11" s="77"/>
      <c r="V11" s="77"/>
      <c r="W11" s="81"/>
      <c r="X11" s="80"/>
      <c r="Y11" s="77"/>
      <c r="Z11" s="77"/>
      <c r="AA11" s="77"/>
      <c r="AB11" s="77"/>
      <c r="AC11" s="81"/>
      <c r="AD11" s="80"/>
      <c r="AE11" s="77"/>
      <c r="AF11" s="77"/>
      <c r="AG11" s="77"/>
      <c r="AH11" s="53"/>
      <c r="AI11" s="53"/>
      <c r="AJ11" s="53"/>
      <c r="AK11" s="53"/>
      <c r="AL11" s="53"/>
      <c r="AM11" s="53"/>
    </row>
    <row r="12">
      <c r="A12" s="54"/>
      <c r="B12" s="72" t="s">
        <v>514</v>
      </c>
      <c r="C12" s="73">
        <f t="shared" si="1"/>
        <v>480</v>
      </c>
      <c r="D12" s="74">
        <f t="shared" si="2"/>
        <v>86400</v>
      </c>
      <c r="E12" s="75">
        <v>180.0</v>
      </c>
      <c r="F12" s="76"/>
      <c r="G12" s="76">
        <v>120.0</v>
      </c>
      <c r="H12" s="76">
        <v>120.0</v>
      </c>
      <c r="I12" s="76">
        <v>120.0</v>
      </c>
      <c r="J12" s="76">
        <v>120.0</v>
      </c>
      <c r="K12" s="77"/>
      <c r="L12" s="77"/>
      <c r="M12" s="77"/>
      <c r="N12" s="80"/>
      <c r="O12" s="77"/>
      <c r="P12" s="77"/>
      <c r="Q12" s="81"/>
      <c r="R12" s="80"/>
      <c r="S12" s="77"/>
      <c r="T12" s="77"/>
      <c r="U12" s="77"/>
      <c r="V12" s="77"/>
      <c r="W12" s="81"/>
      <c r="X12" s="80"/>
      <c r="Y12" s="77"/>
      <c r="Z12" s="77"/>
      <c r="AA12" s="77"/>
      <c r="AB12" s="77"/>
      <c r="AC12" s="81"/>
      <c r="AD12" s="80"/>
      <c r="AE12" s="77"/>
      <c r="AF12" s="77"/>
      <c r="AG12" s="77"/>
      <c r="AH12" s="53"/>
      <c r="AI12" s="53"/>
      <c r="AJ12" s="53"/>
      <c r="AK12" s="53"/>
      <c r="AL12" s="53"/>
      <c r="AM12" s="53"/>
    </row>
    <row r="13">
      <c r="A13" s="54"/>
      <c r="B13" s="72" t="s">
        <v>515</v>
      </c>
      <c r="C13" s="73">
        <f t="shared" si="1"/>
        <v>0</v>
      </c>
      <c r="D13" s="74">
        <f t="shared" si="2"/>
        <v>0</v>
      </c>
      <c r="E13" s="75">
        <v>175.0</v>
      </c>
      <c r="F13" s="77"/>
      <c r="G13" s="77"/>
      <c r="H13" s="77"/>
      <c r="I13" s="77"/>
      <c r="J13" s="77"/>
      <c r="K13" s="77"/>
      <c r="L13" s="77"/>
      <c r="M13" s="77"/>
      <c r="N13" s="80"/>
      <c r="O13" s="77"/>
      <c r="P13" s="77"/>
      <c r="Q13" s="81"/>
      <c r="R13" s="80"/>
      <c r="S13" s="77"/>
      <c r="T13" s="77"/>
      <c r="U13" s="77"/>
      <c r="V13" s="77"/>
      <c r="W13" s="81"/>
      <c r="X13" s="80"/>
      <c r="Y13" s="77"/>
      <c r="Z13" s="77"/>
      <c r="AA13" s="77"/>
      <c r="AB13" s="77"/>
      <c r="AC13" s="81"/>
      <c r="AD13" s="80"/>
      <c r="AE13" s="77"/>
      <c r="AF13" s="77"/>
      <c r="AG13" s="77"/>
      <c r="AH13" s="53"/>
      <c r="AI13" s="53"/>
      <c r="AJ13" s="53"/>
      <c r="AK13" s="53"/>
      <c r="AL13" s="53"/>
      <c r="AM13" s="53"/>
    </row>
    <row r="14">
      <c r="A14" s="54"/>
      <c r="B14" s="72" t="s">
        <v>515</v>
      </c>
      <c r="C14" s="73">
        <f t="shared" si="1"/>
        <v>0</v>
      </c>
      <c r="D14" s="74">
        <f t="shared" si="2"/>
        <v>0</v>
      </c>
      <c r="E14" s="75">
        <v>175.0</v>
      </c>
      <c r="F14" s="77"/>
      <c r="G14" s="77"/>
      <c r="H14" s="77"/>
      <c r="I14" s="77"/>
      <c r="J14" s="77"/>
      <c r="K14" s="77"/>
      <c r="L14" s="77"/>
      <c r="M14" s="77"/>
      <c r="N14" s="80"/>
      <c r="O14" s="77"/>
      <c r="P14" s="77"/>
      <c r="Q14" s="81"/>
      <c r="R14" s="80"/>
      <c r="S14" s="77"/>
      <c r="T14" s="77"/>
      <c r="U14" s="77"/>
      <c r="V14" s="77"/>
      <c r="W14" s="81"/>
      <c r="X14" s="80"/>
      <c r="Y14" s="77"/>
      <c r="Z14" s="77"/>
      <c r="AA14" s="77"/>
      <c r="AB14" s="77"/>
      <c r="AC14" s="81"/>
      <c r="AD14" s="80"/>
      <c r="AE14" s="77"/>
      <c r="AF14" s="77"/>
      <c r="AG14" s="77"/>
      <c r="AH14" s="53"/>
      <c r="AI14" s="53"/>
      <c r="AJ14" s="53"/>
      <c r="AK14" s="53"/>
      <c r="AL14" s="53"/>
      <c r="AM14" s="53"/>
    </row>
    <row r="15">
      <c r="A15" s="54"/>
      <c r="B15" s="72" t="s">
        <v>516</v>
      </c>
      <c r="C15" s="73">
        <f t="shared" si="1"/>
        <v>0</v>
      </c>
      <c r="D15" s="74">
        <f t="shared" si="2"/>
        <v>0</v>
      </c>
      <c r="E15" s="75">
        <v>220.0</v>
      </c>
      <c r="F15" s="77"/>
      <c r="G15" s="77"/>
      <c r="H15" s="77"/>
      <c r="I15" s="77"/>
      <c r="J15" s="77"/>
      <c r="K15" s="77"/>
      <c r="L15" s="77"/>
      <c r="M15" s="77"/>
      <c r="N15" s="80"/>
      <c r="O15" s="77"/>
      <c r="P15" s="77"/>
      <c r="Q15" s="81"/>
      <c r="R15" s="80"/>
      <c r="S15" s="77"/>
      <c r="T15" s="77"/>
      <c r="U15" s="77"/>
      <c r="V15" s="77"/>
      <c r="W15" s="81"/>
      <c r="X15" s="80"/>
      <c r="Y15" s="77"/>
      <c r="Z15" s="77"/>
      <c r="AA15" s="77"/>
      <c r="AB15" s="77"/>
      <c r="AC15" s="81"/>
      <c r="AD15" s="80"/>
      <c r="AE15" s="77"/>
      <c r="AF15" s="77"/>
      <c r="AG15" s="77"/>
      <c r="AH15" s="53"/>
      <c r="AI15" s="53"/>
      <c r="AJ15" s="53"/>
      <c r="AK15" s="53"/>
      <c r="AL15" s="53"/>
      <c r="AM15" s="53"/>
    </row>
    <row r="16">
      <c r="A16" s="54"/>
      <c r="B16" s="72" t="s">
        <v>517</v>
      </c>
      <c r="C16" s="73">
        <f t="shared" si="1"/>
        <v>0</v>
      </c>
      <c r="D16" s="74">
        <f t="shared" si="2"/>
        <v>0</v>
      </c>
      <c r="E16" s="75">
        <v>190.0</v>
      </c>
      <c r="F16" s="77"/>
      <c r="G16" s="77"/>
      <c r="H16" s="77"/>
      <c r="I16" s="77"/>
      <c r="J16" s="77"/>
      <c r="K16" s="77"/>
      <c r="L16" s="77"/>
      <c r="M16" s="77"/>
      <c r="N16" s="80"/>
      <c r="O16" s="77"/>
      <c r="P16" s="77"/>
      <c r="Q16" s="81"/>
      <c r="R16" s="80"/>
      <c r="S16" s="77"/>
      <c r="T16" s="77"/>
      <c r="U16" s="77"/>
      <c r="V16" s="77"/>
      <c r="W16" s="81"/>
      <c r="X16" s="80"/>
      <c r="Y16" s="77"/>
      <c r="Z16" s="77"/>
      <c r="AA16" s="77"/>
      <c r="AB16" s="77"/>
      <c r="AC16" s="81"/>
      <c r="AD16" s="80"/>
      <c r="AE16" s="77"/>
      <c r="AF16" s="77"/>
      <c r="AG16" s="77"/>
      <c r="AH16" s="53"/>
      <c r="AI16" s="53"/>
      <c r="AJ16" s="53"/>
      <c r="AK16" s="53"/>
      <c r="AL16" s="53"/>
      <c r="AM16" s="53"/>
    </row>
    <row r="17">
      <c r="A17" s="54"/>
      <c r="B17" s="72" t="s">
        <v>518</v>
      </c>
      <c r="C17" s="73">
        <f t="shared" si="1"/>
        <v>50</v>
      </c>
      <c r="D17" s="74">
        <f t="shared" si="2"/>
        <v>12000</v>
      </c>
      <c r="E17" s="75">
        <v>240.0</v>
      </c>
      <c r="F17" s="77"/>
      <c r="G17" s="77"/>
      <c r="H17" s="77"/>
      <c r="I17" s="77"/>
      <c r="J17" s="76">
        <v>40.0</v>
      </c>
      <c r="K17" s="76">
        <v>10.0</v>
      </c>
      <c r="L17" s="77"/>
      <c r="M17" s="77"/>
      <c r="N17" s="80"/>
      <c r="O17" s="77"/>
      <c r="P17" s="77"/>
      <c r="Q17" s="81"/>
      <c r="R17" s="80"/>
      <c r="S17" s="77"/>
      <c r="T17" s="77"/>
      <c r="U17" s="77"/>
      <c r="V17" s="77"/>
      <c r="W17" s="81"/>
      <c r="X17" s="80"/>
      <c r="Y17" s="77"/>
      <c r="Z17" s="77"/>
      <c r="AA17" s="77"/>
      <c r="AB17" s="77"/>
      <c r="AC17" s="81"/>
      <c r="AD17" s="80"/>
      <c r="AE17" s="77"/>
      <c r="AF17" s="77"/>
      <c r="AG17" s="77"/>
      <c r="AH17" s="53"/>
      <c r="AI17" s="53"/>
      <c r="AJ17" s="53"/>
      <c r="AK17" s="53"/>
      <c r="AL17" s="53"/>
      <c r="AM17" s="53"/>
    </row>
    <row r="18">
      <c r="A18" s="54"/>
      <c r="B18" s="72" t="s">
        <v>519</v>
      </c>
      <c r="C18" s="73">
        <f t="shared" si="1"/>
        <v>0</v>
      </c>
      <c r="D18" s="74">
        <f t="shared" si="2"/>
        <v>0</v>
      </c>
      <c r="E18" s="75">
        <v>130.0</v>
      </c>
      <c r="F18" s="77"/>
      <c r="G18" s="77"/>
      <c r="H18" s="77"/>
      <c r="I18" s="77"/>
      <c r="J18" s="77"/>
      <c r="K18" s="77"/>
      <c r="L18" s="77"/>
      <c r="M18" s="77"/>
      <c r="N18" s="80"/>
      <c r="O18" s="77"/>
      <c r="P18" s="77"/>
      <c r="Q18" s="81"/>
      <c r="R18" s="80"/>
      <c r="S18" s="77"/>
      <c r="T18" s="77"/>
      <c r="U18" s="77"/>
      <c r="V18" s="77"/>
      <c r="W18" s="81"/>
      <c r="X18" s="80"/>
      <c r="Y18" s="77"/>
      <c r="Z18" s="77"/>
      <c r="AA18" s="77"/>
      <c r="AB18" s="77"/>
      <c r="AC18" s="81"/>
      <c r="AD18" s="80"/>
      <c r="AE18" s="77"/>
      <c r="AF18" s="77"/>
      <c r="AG18" s="77"/>
      <c r="AH18" s="53"/>
      <c r="AI18" s="53"/>
      <c r="AJ18" s="53"/>
      <c r="AK18" s="53"/>
      <c r="AL18" s="53"/>
      <c r="AM18" s="53"/>
    </row>
    <row r="19">
      <c r="A19" s="54"/>
      <c r="B19" s="72" t="s">
        <v>520</v>
      </c>
      <c r="C19" s="73">
        <f t="shared" si="1"/>
        <v>0</v>
      </c>
      <c r="D19" s="74">
        <f t="shared" si="2"/>
        <v>0</v>
      </c>
      <c r="E19" s="75">
        <v>150.0</v>
      </c>
      <c r="F19" s="77"/>
      <c r="G19" s="77"/>
      <c r="H19" s="77"/>
      <c r="I19" s="77"/>
      <c r="J19" s="77"/>
      <c r="K19" s="77"/>
      <c r="L19" s="77"/>
      <c r="M19" s="77"/>
      <c r="N19" s="80"/>
      <c r="O19" s="77"/>
      <c r="P19" s="77"/>
      <c r="Q19" s="81"/>
      <c r="R19" s="80"/>
      <c r="S19" s="77"/>
      <c r="T19" s="77"/>
      <c r="U19" s="77"/>
      <c r="V19" s="77"/>
      <c r="W19" s="81"/>
      <c r="X19" s="80"/>
      <c r="Y19" s="77"/>
      <c r="Z19" s="77"/>
      <c r="AA19" s="77"/>
      <c r="AB19" s="77"/>
      <c r="AC19" s="81"/>
      <c r="AD19" s="80"/>
      <c r="AE19" s="77"/>
      <c r="AF19" s="77"/>
      <c r="AG19" s="77"/>
      <c r="AH19" s="53"/>
      <c r="AI19" s="53"/>
      <c r="AJ19" s="53"/>
      <c r="AK19" s="53"/>
      <c r="AL19" s="53"/>
      <c r="AM19" s="53"/>
    </row>
    <row r="20">
      <c r="A20" s="83"/>
      <c r="B20" s="84" t="s">
        <v>498</v>
      </c>
      <c r="C20" s="85">
        <f>SUM(C7:C19)</f>
        <v>1320</v>
      </c>
      <c r="D20" s="86"/>
      <c r="E20" s="87"/>
      <c r="F20" s="87">
        <f t="shared" ref="F20:AG20" si="3">SUM(F7:F19)</f>
        <v>185</v>
      </c>
      <c r="G20" s="87">
        <f t="shared" si="3"/>
        <v>305</v>
      </c>
      <c r="H20" s="87">
        <f t="shared" si="3"/>
        <v>225</v>
      </c>
      <c r="I20" s="87">
        <f t="shared" si="3"/>
        <v>225</v>
      </c>
      <c r="J20" s="87">
        <f t="shared" si="3"/>
        <v>265</v>
      </c>
      <c r="K20" s="87">
        <f t="shared" si="3"/>
        <v>115</v>
      </c>
      <c r="L20" s="87">
        <f t="shared" si="3"/>
        <v>0</v>
      </c>
      <c r="M20" s="87">
        <f t="shared" si="3"/>
        <v>0</v>
      </c>
      <c r="N20" s="87">
        <f t="shared" si="3"/>
        <v>0</v>
      </c>
      <c r="O20" s="87">
        <f t="shared" si="3"/>
        <v>0</v>
      </c>
      <c r="P20" s="87">
        <f t="shared" si="3"/>
        <v>0</v>
      </c>
      <c r="Q20" s="87">
        <f t="shared" si="3"/>
        <v>0</v>
      </c>
      <c r="R20" s="87">
        <f t="shared" si="3"/>
        <v>0</v>
      </c>
      <c r="S20" s="87">
        <f t="shared" si="3"/>
        <v>0</v>
      </c>
      <c r="T20" s="87">
        <f t="shared" si="3"/>
        <v>0</v>
      </c>
      <c r="U20" s="87">
        <f t="shared" si="3"/>
        <v>0</v>
      </c>
      <c r="V20" s="87">
        <f t="shared" si="3"/>
        <v>0</v>
      </c>
      <c r="W20" s="87">
        <f t="shared" si="3"/>
        <v>0</v>
      </c>
      <c r="X20" s="87">
        <f t="shared" si="3"/>
        <v>0</v>
      </c>
      <c r="Y20" s="87">
        <f t="shared" si="3"/>
        <v>0</v>
      </c>
      <c r="Z20" s="87">
        <f t="shared" si="3"/>
        <v>0</v>
      </c>
      <c r="AA20" s="87">
        <f t="shared" si="3"/>
        <v>0</v>
      </c>
      <c r="AB20" s="87">
        <f t="shared" si="3"/>
        <v>0</v>
      </c>
      <c r="AC20" s="87">
        <f t="shared" si="3"/>
        <v>0</v>
      </c>
      <c r="AD20" s="87">
        <f t="shared" si="3"/>
        <v>0</v>
      </c>
      <c r="AE20" s="87">
        <f t="shared" si="3"/>
        <v>0</v>
      </c>
      <c r="AF20" s="87">
        <f t="shared" si="3"/>
        <v>0</v>
      </c>
      <c r="AG20" s="87">
        <f t="shared" si="3"/>
        <v>0</v>
      </c>
      <c r="AH20" s="53"/>
      <c r="AI20" s="53"/>
      <c r="AJ20" s="53"/>
      <c r="AK20" s="53"/>
      <c r="AL20" s="53"/>
      <c r="AM20" s="53"/>
    </row>
    <row r="21">
      <c r="A21" s="83"/>
      <c r="B21" s="84" t="s">
        <v>521</v>
      </c>
      <c r="C21" s="88"/>
      <c r="D21" s="89">
        <f>SUM(D7:D19)</f>
        <v>280250</v>
      </c>
      <c r="E21" s="90"/>
      <c r="F21" s="91">
        <f t="shared" ref="F21:AG21" si="4">SUMPRODUCT($E$7:$E$19,F7:F19)</f>
        <v>40975</v>
      </c>
      <c r="G21" s="91">
        <f t="shared" si="4"/>
        <v>62575</v>
      </c>
      <c r="H21" s="91">
        <f t="shared" si="4"/>
        <v>46575</v>
      </c>
      <c r="I21" s="91">
        <f t="shared" si="4"/>
        <v>46575</v>
      </c>
      <c r="J21" s="92">
        <f t="shared" si="4"/>
        <v>56175</v>
      </c>
      <c r="K21" s="91">
        <f t="shared" si="4"/>
        <v>27375</v>
      </c>
      <c r="L21" s="91">
        <f t="shared" si="4"/>
        <v>0</v>
      </c>
      <c r="M21" s="91">
        <f t="shared" si="4"/>
        <v>0</v>
      </c>
      <c r="N21" s="91">
        <f t="shared" si="4"/>
        <v>0</v>
      </c>
      <c r="O21" s="91">
        <f t="shared" si="4"/>
        <v>0</v>
      </c>
      <c r="P21" s="91">
        <f t="shared" si="4"/>
        <v>0</v>
      </c>
      <c r="Q21" s="92">
        <f t="shared" si="4"/>
        <v>0</v>
      </c>
      <c r="R21" s="91">
        <f t="shared" si="4"/>
        <v>0</v>
      </c>
      <c r="S21" s="91">
        <f t="shared" si="4"/>
        <v>0</v>
      </c>
      <c r="T21" s="91">
        <f t="shared" si="4"/>
        <v>0</v>
      </c>
      <c r="U21" s="91">
        <f t="shared" si="4"/>
        <v>0</v>
      </c>
      <c r="V21" s="91">
        <f t="shared" si="4"/>
        <v>0</v>
      </c>
      <c r="W21" s="91">
        <f t="shared" si="4"/>
        <v>0</v>
      </c>
      <c r="X21" s="91">
        <f t="shared" si="4"/>
        <v>0</v>
      </c>
      <c r="Y21" s="91">
        <f t="shared" si="4"/>
        <v>0</v>
      </c>
      <c r="Z21" s="91">
        <f t="shared" si="4"/>
        <v>0</v>
      </c>
      <c r="AA21" s="91">
        <f t="shared" si="4"/>
        <v>0</v>
      </c>
      <c r="AB21" s="91">
        <f t="shared" si="4"/>
        <v>0</v>
      </c>
      <c r="AC21" s="91">
        <f t="shared" si="4"/>
        <v>0</v>
      </c>
      <c r="AD21" s="91">
        <f t="shared" si="4"/>
        <v>0</v>
      </c>
      <c r="AE21" s="91">
        <f t="shared" si="4"/>
        <v>0</v>
      </c>
      <c r="AF21" s="91">
        <f t="shared" si="4"/>
        <v>0</v>
      </c>
      <c r="AG21" s="91">
        <f t="shared" si="4"/>
        <v>0</v>
      </c>
      <c r="AH21" s="53"/>
      <c r="AI21" s="53"/>
      <c r="AJ21" s="53"/>
      <c r="AK21" s="53"/>
      <c r="AL21" s="53"/>
      <c r="AM21" s="53"/>
    </row>
    <row r="22">
      <c r="A22" s="58"/>
      <c r="B22" s="58"/>
      <c r="C22" s="58" t="s">
        <v>522</v>
      </c>
      <c r="E22" s="93"/>
      <c r="F22" s="94">
        <f>sum(F21)</f>
        <v>40975</v>
      </c>
      <c r="G22" s="95">
        <f>sum(G21:I21)</f>
        <v>155725</v>
      </c>
      <c r="I22" s="96"/>
      <c r="J22" s="97">
        <f>sum(J21:L21)</f>
        <v>83550</v>
      </c>
      <c r="L22" s="96"/>
      <c r="M22" s="97">
        <f>sum(M21:O21)</f>
        <v>0</v>
      </c>
      <c r="O22" s="96"/>
      <c r="P22" s="97">
        <f>sum(P21:R21)</f>
        <v>0</v>
      </c>
      <c r="R22" s="96"/>
      <c r="S22" s="97">
        <f>sum(S21:U21)</f>
        <v>0</v>
      </c>
      <c r="U22" s="96"/>
      <c r="V22" s="97">
        <f>sum(V21:X21)</f>
        <v>0</v>
      </c>
      <c r="X22" s="96"/>
      <c r="Y22" s="97">
        <f>sum(Y21:AA21)</f>
        <v>0</v>
      </c>
      <c r="AA22" s="96"/>
      <c r="AB22" s="97">
        <f>sum(AB21:AD21)</f>
        <v>0</v>
      </c>
      <c r="AD22" s="96"/>
      <c r="AE22" s="97">
        <f>sum(AE21:AG21)</f>
        <v>0</v>
      </c>
      <c r="AG22" s="96"/>
      <c r="AH22" s="98" t="s">
        <v>523</v>
      </c>
      <c r="AI22" s="99"/>
      <c r="AJ22" s="99"/>
      <c r="AK22" s="99"/>
      <c r="AL22" s="99"/>
      <c r="AM22" s="99"/>
    </row>
    <row r="23">
      <c r="A23" s="58"/>
      <c r="B23" s="58"/>
      <c r="C23" s="58" t="s">
        <v>524</v>
      </c>
      <c r="E23" s="100"/>
      <c r="F23" s="101">
        <f>sum(F22:I22)</f>
        <v>196700</v>
      </c>
      <c r="I23" s="102"/>
      <c r="J23" s="101">
        <f>sum(J22:U22)</f>
        <v>83550</v>
      </c>
      <c r="U23" s="102"/>
      <c r="V23" s="101">
        <f>sum(V22:AG22)</f>
        <v>0</v>
      </c>
      <c r="AG23" s="102"/>
      <c r="AH23" s="103"/>
      <c r="AI23" s="104"/>
      <c r="AJ23" s="104"/>
      <c r="AK23" s="104"/>
      <c r="AL23" s="104"/>
      <c r="AM23" s="104"/>
    </row>
    <row r="24">
      <c r="A24" s="56"/>
      <c r="B24" s="56" t="s">
        <v>525</v>
      </c>
      <c r="E24" s="105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</row>
    <row r="25">
      <c r="A25" s="58"/>
      <c r="B25" s="58"/>
      <c r="C25" s="58" t="s">
        <v>526</v>
      </c>
      <c r="E25" s="106">
        <f>AVERAGE(E7:E19)</f>
        <v>201.1538462</v>
      </c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</row>
    <row r="26">
      <c r="A26" s="107"/>
      <c r="B26" s="107"/>
      <c r="C26" s="107" t="s">
        <v>527</v>
      </c>
      <c r="E26" s="108"/>
      <c r="F26" s="109">
        <f t="shared" ref="F26:AG26" si="5">(sum(F7:F19)/180)</f>
        <v>1.027777778</v>
      </c>
      <c r="G26" s="109">
        <f t="shared" si="5"/>
        <v>1.694444444</v>
      </c>
      <c r="H26" s="109">
        <f t="shared" si="5"/>
        <v>1.25</v>
      </c>
      <c r="I26" s="109">
        <f t="shared" si="5"/>
        <v>1.25</v>
      </c>
      <c r="J26" s="109">
        <f t="shared" si="5"/>
        <v>1.472222222</v>
      </c>
      <c r="K26" s="109">
        <f t="shared" si="5"/>
        <v>0.6388888889</v>
      </c>
      <c r="L26" s="109">
        <f t="shared" si="5"/>
        <v>0</v>
      </c>
      <c r="M26" s="109">
        <f t="shared" si="5"/>
        <v>0</v>
      </c>
      <c r="N26" s="109">
        <f t="shared" si="5"/>
        <v>0</v>
      </c>
      <c r="O26" s="109">
        <f t="shared" si="5"/>
        <v>0</v>
      </c>
      <c r="P26" s="109">
        <f t="shared" si="5"/>
        <v>0</v>
      </c>
      <c r="Q26" s="109">
        <f t="shared" si="5"/>
        <v>0</v>
      </c>
      <c r="R26" s="109">
        <f t="shared" si="5"/>
        <v>0</v>
      </c>
      <c r="S26" s="109">
        <f t="shared" si="5"/>
        <v>0</v>
      </c>
      <c r="T26" s="109">
        <f t="shared" si="5"/>
        <v>0</v>
      </c>
      <c r="U26" s="109">
        <f t="shared" si="5"/>
        <v>0</v>
      </c>
      <c r="V26" s="109">
        <f t="shared" si="5"/>
        <v>0</v>
      </c>
      <c r="W26" s="109">
        <f t="shared" si="5"/>
        <v>0</v>
      </c>
      <c r="X26" s="109">
        <f t="shared" si="5"/>
        <v>0</v>
      </c>
      <c r="Y26" s="109">
        <f t="shared" si="5"/>
        <v>0</v>
      </c>
      <c r="Z26" s="109">
        <f t="shared" si="5"/>
        <v>0</v>
      </c>
      <c r="AA26" s="109">
        <f t="shared" si="5"/>
        <v>0</v>
      </c>
      <c r="AB26" s="109">
        <f t="shared" si="5"/>
        <v>0</v>
      </c>
      <c r="AC26" s="109">
        <f t="shared" si="5"/>
        <v>0</v>
      </c>
      <c r="AD26" s="109">
        <f t="shared" si="5"/>
        <v>0</v>
      </c>
      <c r="AE26" s="109">
        <f t="shared" si="5"/>
        <v>0</v>
      </c>
      <c r="AF26" s="109">
        <f t="shared" si="5"/>
        <v>0</v>
      </c>
      <c r="AG26" s="109">
        <f t="shared" si="5"/>
        <v>0</v>
      </c>
      <c r="AH26" s="108"/>
      <c r="AI26" s="108"/>
      <c r="AJ26" s="108"/>
      <c r="AK26" s="108"/>
      <c r="AL26" s="108"/>
      <c r="AM26" s="108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</row>
    <row r="28">
      <c r="A28" s="56"/>
      <c r="B28" s="56" t="s">
        <v>528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</row>
    <row r="30">
      <c r="A30" s="107"/>
      <c r="B30" s="107"/>
      <c r="C30" s="107" t="s">
        <v>529</v>
      </c>
      <c r="E30" s="110"/>
      <c r="F30" s="111">
        <v>2025.0</v>
      </c>
      <c r="I30" s="102"/>
      <c r="J30" s="111">
        <v>2026.0</v>
      </c>
      <c r="U30" s="102"/>
      <c r="V30" s="111">
        <v>2027.0</v>
      </c>
      <c r="AG30" s="102"/>
      <c r="AH30" s="112"/>
      <c r="AI30" s="112"/>
      <c r="AJ30" s="112"/>
      <c r="AK30" s="112"/>
      <c r="AL30" s="112"/>
      <c r="AM30" s="112"/>
    </row>
    <row r="31">
      <c r="A31" s="58"/>
      <c r="B31" s="58"/>
      <c r="C31" s="58" t="s">
        <v>493</v>
      </c>
      <c r="E31" s="60"/>
      <c r="F31" s="61" t="s">
        <v>494</v>
      </c>
      <c r="G31" s="62" t="s">
        <v>530</v>
      </c>
      <c r="H31" s="113"/>
      <c r="I31" s="114"/>
      <c r="J31" s="63" t="s">
        <v>496</v>
      </c>
      <c r="K31" s="115" t="s">
        <v>531</v>
      </c>
      <c r="L31" s="116" t="s">
        <v>532</v>
      </c>
      <c r="M31" s="62" t="s">
        <v>530</v>
      </c>
      <c r="N31" s="113"/>
      <c r="O31" s="113"/>
      <c r="P31" s="113"/>
      <c r="Q31" s="63" t="s">
        <v>496</v>
      </c>
      <c r="R31" s="115" t="s">
        <v>531</v>
      </c>
      <c r="S31" s="116" t="s">
        <v>532</v>
      </c>
      <c r="T31" s="117" t="s">
        <v>530</v>
      </c>
      <c r="W31" s="63" t="s">
        <v>496</v>
      </c>
      <c r="X31" s="115" t="s">
        <v>531</v>
      </c>
      <c r="Y31" s="116" t="s">
        <v>532</v>
      </c>
      <c r="Z31" s="117" t="s">
        <v>530</v>
      </c>
      <c r="AC31" s="63" t="s">
        <v>496</v>
      </c>
      <c r="AD31" s="64"/>
      <c r="AE31" s="64"/>
      <c r="AF31" s="64"/>
      <c r="AG31" s="64"/>
      <c r="AH31" s="65"/>
      <c r="AI31" s="65"/>
      <c r="AJ31" s="65"/>
      <c r="AK31" s="65"/>
      <c r="AL31" s="65"/>
      <c r="AM31" s="65"/>
    </row>
    <row r="32">
      <c r="A32" s="58"/>
      <c r="B32" s="58"/>
      <c r="C32" s="58" t="s">
        <v>533</v>
      </c>
      <c r="E32" s="118"/>
      <c r="F32" s="119" t="s">
        <v>534</v>
      </c>
      <c r="G32" s="120" t="s">
        <v>535</v>
      </c>
      <c r="I32" s="102"/>
      <c r="J32" s="121" t="s">
        <v>536</v>
      </c>
      <c r="L32" s="96"/>
      <c r="M32" s="120" t="s">
        <v>537</v>
      </c>
      <c r="O32" s="96"/>
      <c r="P32" s="120" t="s">
        <v>534</v>
      </c>
      <c r="R32" s="96"/>
      <c r="S32" s="120" t="s">
        <v>535</v>
      </c>
      <c r="U32" s="102"/>
      <c r="V32" s="121" t="s">
        <v>536</v>
      </c>
      <c r="X32" s="96"/>
      <c r="Y32" s="120" t="s">
        <v>537</v>
      </c>
      <c r="AA32" s="96"/>
      <c r="AB32" s="120" t="s">
        <v>534</v>
      </c>
      <c r="AD32" s="96"/>
      <c r="AE32" s="120" t="s">
        <v>535</v>
      </c>
      <c r="AG32" s="102"/>
      <c r="AH32" s="65"/>
      <c r="AI32" s="65"/>
      <c r="AJ32" s="65"/>
      <c r="AK32" s="65"/>
      <c r="AL32" s="65"/>
      <c r="AM32" s="65"/>
    </row>
    <row r="33">
      <c r="A33" s="66"/>
      <c r="B33" s="67" t="s">
        <v>538</v>
      </c>
      <c r="C33" s="69" t="s">
        <v>498</v>
      </c>
      <c r="D33" s="122"/>
      <c r="E33" s="70"/>
      <c r="F33" s="68" t="s">
        <v>539</v>
      </c>
      <c r="G33" s="68" t="s">
        <v>540</v>
      </c>
      <c r="H33" s="68" t="s">
        <v>541</v>
      </c>
      <c r="I33" s="68" t="s">
        <v>542</v>
      </c>
      <c r="J33" s="68" t="s">
        <v>543</v>
      </c>
      <c r="K33" s="68" t="s">
        <v>544</v>
      </c>
      <c r="L33" s="68" t="s">
        <v>545</v>
      </c>
      <c r="M33" s="68" t="s">
        <v>546</v>
      </c>
      <c r="N33" s="68" t="s">
        <v>547</v>
      </c>
      <c r="O33" s="68" t="s">
        <v>548</v>
      </c>
      <c r="P33" s="68" t="s">
        <v>549</v>
      </c>
      <c r="Q33" s="68" t="s">
        <v>550</v>
      </c>
      <c r="R33" s="68" t="s">
        <v>539</v>
      </c>
      <c r="S33" s="68" t="s">
        <v>540</v>
      </c>
      <c r="T33" s="68" t="s">
        <v>541</v>
      </c>
      <c r="U33" s="68" t="s">
        <v>542</v>
      </c>
      <c r="V33" s="68" t="s">
        <v>543</v>
      </c>
      <c r="W33" s="68" t="s">
        <v>544</v>
      </c>
      <c r="X33" s="68" t="s">
        <v>545</v>
      </c>
      <c r="Y33" s="68" t="s">
        <v>546</v>
      </c>
      <c r="Z33" s="68" t="s">
        <v>547</v>
      </c>
      <c r="AA33" s="68" t="s">
        <v>548</v>
      </c>
      <c r="AB33" s="68" t="s">
        <v>549</v>
      </c>
      <c r="AC33" s="68" t="s">
        <v>550</v>
      </c>
      <c r="AD33" s="68" t="s">
        <v>539</v>
      </c>
      <c r="AE33" s="68" t="s">
        <v>540</v>
      </c>
      <c r="AF33" s="68" t="s">
        <v>541</v>
      </c>
      <c r="AG33" s="68" t="s">
        <v>542</v>
      </c>
      <c r="AH33" s="53"/>
      <c r="AI33" s="53"/>
      <c r="AJ33" s="53"/>
      <c r="AK33" s="53"/>
      <c r="AL33" s="53"/>
      <c r="AM33" s="53"/>
    </row>
    <row r="34">
      <c r="A34" s="54"/>
      <c r="B34" s="72" t="s">
        <v>551</v>
      </c>
      <c r="C34" s="123">
        <f t="shared" ref="C34:C39" si="6">sum(F34:AG34)</f>
        <v>0</v>
      </c>
      <c r="E34" s="123"/>
      <c r="F34" s="123"/>
      <c r="G34" s="123"/>
      <c r="H34" s="123"/>
      <c r="I34" s="123"/>
      <c r="J34" s="124"/>
      <c r="K34" s="123"/>
      <c r="L34" s="123"/>
      <c r="M34" s="123"/>
      <c r="N34" s="123"/>
      <c r="O34" s="123"/>
      <c r="P34" s="123"/>
      <c r="Q34" s="124"/>
      <c r="R34" s="123"/>
      <c r="S34" s="123"/>
      <c r="T34" s="123"/>
      <c r="U34" s="123"/>
      <c r="V34" s="123"/>
      <c r="W34" s="124"/>
      <c r="X34" s="123"/>
      <c r="Y34" s="123"/>
      <c r="Z34" s="123"/>
      <c r="AA34" s="123"/>
      <c r="AB34" s="123"/>
      <c r="AC34" s="124"/>
      <c r="AD34" s="123"/>
      <c r="AE34" s="123"/>
      <c r="AF34" s="123"/>
      <c r="AG34" s="123"/>
      <c r="AH34" s="53"/>
      <c r="AI34" s="53"/>
      <c r="AJ34" s="53"/>
      <c r="AK34" s="53"/>
      <c r="AL34" s="53"/>
      <c r="AM34" s="53"/>
    </row>
    <row r="35">
      <c r="A35" s="54"/>
      <c r="B35" s="72" t="s">
        <v>552</v>
      </c>
      <c r="C35" s="123">
        <f t="shared" si="6"/>
        <v>0</v>
      </c>
      <c r="E35" s="123"/>
      <c r="F35" s="123"/>
      <c r="G35" s="123"/>
      <c r="H35" s="123"/>
      <c r="I35" s="123"/>
      <c r="J35" s="124"/>
      <c r="K35" s="123"/>
      <c r="L35" s="123"/>
      <c r="M35" s="123"/>
      <c r="N35" s="123"/>
      <c r="O35" s="123"/>
      <c r="P35" s="123"/>
      <c r="Q35" s="124"/>
      <c r="R35" s="123"/>
      <c r="S35" s="123"/>
      <c r="T35" s="123"/>
      <c r="U35" s="123"/>
      <c r="V35" s="123"/>
      <c r="W35" s="124"/>
      <c r="X35" s="123"/>
      <c r="Y35" s="123"/>
      <c r="Z35" s="123"/>
      <c r="AA35" s="123"/>
      <c r="AB35" s="123"/>
      <c r="AC35" s="124"/>
      <c r="AD35" s="123"/>
      <c r="AE35" s="123"/>
      <c r="AF35" s="123"/>
      <c r="AG35" s="123"/>
      <c r="AH35" s="53"/>
      <c r="AI35" s="53"/>
      <c r="AJ35" s="53"/>
      <c r="AK35" s="53"/>
      <c r="AL35" s="53"/>
      <c r="AM35" s="53"/>
    </row>
    <row r="36">
      <c r="A36" s="54"/>
      <c r="B36" s="72" t="s">
        <v>553</v>
      </c>
      <c r="C36" s="123">
        <f t="shared" si="6"/>
        <v>0</v>
      </c>
      <c r="E36" s="123"/>
      <c r="F36" s="123"/>
      <c r="G36" s="123"/>
      <c r="H36" s="123"/>
      <c r="I36" s="123"/>
      <c r="J36" s="124"/>
      <c r="K36" s="123"/>
      <c r="L36" s="123"/>
      <c r="M36" s="123"/>
      <c r="N36" s="123"/>
      <c r="O36" s="123"/>
      <c r="P36" s="123"/>
      <c r="Q36" s="124"/>
      <c r="R36" s="123"/>
      <c r="S36" s="123"/>
      <c r="T36" s="123"/>
      <c r="U36" s="123"/>
      <c r="V36" s="123"/>
      <c r="W36" s="124"/>
      <c r="X36" s="123"/>
      <c r="Y36" s="123"/>
      <c r="Z36" s="123"/>
      <c r="AA36" s="123"/>
      <c r="AB36" s="123"/>
      <c r="AC36" s="124"/>
      <c r="AD36" s="123"/>
      <c r="AE36" s="123"/>
      <c r="AF36" s="123"/>
      <c r="AG36" s="123"/>
      <c r="AH36" s="53"/>
      <c r="AI36" s="53"/>
      <c r="AJ36" s="53"/>
      <c r="AK36" s="53"/>
      <c r="AL36" s="53"/>
      <c r="AM36" s="53"/>
    </row>
    <row r="37">
      <c r="A37" s="54"/>
      <c r="B37" s="72" t="s">
        <v>554</v>
      </c>
      <c r="C37" s="123">
        <f t="shared" si="6"/>
        <v>0</v>
      </c>
      <c r="E37" s="123"/>
      <c r="F37" s="123"/>
      <c r="G37" s="123"/>
      <c r="H37" s="123"/>
      <c r="I37" s="123"/>
      <c r="J37" s="124"/>
      <c r="K37" s="123"/>
      <c r="L37" s="123"/>
      <c r="M37" s="123"/>
      <c r="N37" s="123"/>
      <c r="O37" s="123"/>
      <c r="P37" s="123"/>
      <c r="Q37" s="124"/>
      <c r="R37" s="123"/>
      <c r="S37" s="123"/>
      <c r="T37" s="123"/>
      <c r="U37" s="123"/>
      <c r="V37" s="123"/>
      <c r="W37" s="124"/>
      <c r="X37" s="123"/>
      <c r="Y37" s="123"/>
      <c r="Z37" s="123"/>
      <c r="AA37" s="123"/>
      <c r="AB37" s="123"/>
      <c r="AC37" s="124"/>
      <c r="AD37" s="123"/>
      <c r="AE37" s="123"/>
      <c r="AF37" s="123"/>
      <c r="AG37" s="123"/>
      <c r="AH37" s="53"/>
      <c r="AI37" s="53"/>
      <c r="AJ37" s="53"/>
      <c r="AK37" s="53"/>
      <c r="AL37" s="53"/>
      <c r="AM37" s="53"/>
    </row>
    <row r="38">
      <c r="A38" s="54"/>
      <c r="B38" s="72" t="s">
        <v>555</v>
      </c>
      <c r="C38" s="123">
        <f t="shared" si="6"/>
        <v>0</v>
      </c>
      <c r="E38" s="123"/>
      <c r="F38" s="123"/>
      <c r="G38" s="123"/>
      <c r="H38" s="123"/>
      <c r="I38" s="123"/>
      <c r="J38" s="124"/>
      <c r="K38" s="123"/>
      <c r="L38" s="123"/>
      <c r="M38" s="123"/>
      <c r="N38" s="123"/>
      <c r="O38" s="123"/>
      <c r="P38" s="123"/>
      <c r="Q38" s="124"/>
      <c r="R38" s="123"/>
      <c r="S38" s="123"/>
      <c r="T38" s="123"/>
      <c r="U38" s="123"/>
      <c r="V38" s="123"/>
      <c r="W38" s="124"/>
      <c r="X38" s="123"/>
      <c r="Y38" s="123"/>
      <c r="Z38" s="123"/>
      <c r="AA38" s="123"/>
      <c r="AB38" s="123"/>
      <c r="AC38" s="124"/>
      <c r="AD38" s="123"/>
      <c r="AE38" s="123"/>
      <c r="AF38" s="123"/>
      <c r="AG38" s="123"/>
      <c r="AH38" s="53"/>
      <c r="AI38" s="53"/>
      <c r="AJ38" s="53"/>
      <c r="AK38" s="53"/>
      <c r="AL38" s="53"/>
      <c r="AM38" s="53"/>
    </row>
    <row r="39">
      <c r="A39" s="54"/>
      <c r="B39" s="72" t="s">
        <v>556</v>
      </c>
      <c r="C39" s="123">
        <f t="shared" si="6"/>
        <v>0</v>
      </c>
      <c r="E39" s="123"/>
      <c r="F39" s="123"/>
      <c r="G39" s="123"/>
      <c r="H39" s="123"/>
      <c r="I39" s="123"/>
      <c r="J39" s="124"/>
      <c r="K39" s="123"/>
      <c r="L39" s="123"/>
      <c r="M39" s="123"/>
      <c r="N39" s="123"/>
      <c r="O39" s="123"/>
      <c r="P39" s="123"/>
      <c r="Q39" s="124"/>
      <c r="R39" s="123"/>
      <c r="S39" s="123"/>
      <c r="T39" s="123"/>
      <c r="U39" s="123"/>
      <c r="V39" s="123"/>
      <c r="W39" s="124"/>
      <c r="X39" s="123"/>
      <c r="Y39" s="123"/>
      <c r="Z39" s="123"/>
      <c r="AA39" s="123"/>
      <c r="AB39" s="123"/>
      <c r="AC39" s="124"/>
      <c r="AD39" s="123"/>
      <c r="AE39" s="123"/>
      <c r="AF39" s="123"/>
      <c r="AG39" s="123"/>
      <c r="AH39" s="53"/>
      <c r="AI39" s="53"/>
      <c r="AJ39" s="53"/>
      <c r="AK39" s="53"/>
      <c r="AL39" s="53"/>
      <c r="AM39" s="53"/>
    </row>
    <row r="40">
      <c r="A40" s="83"/>
      <c r="B40" s="84" t="s">
        <v>498</v>
      </c>
      <c r="C40" s="125">
        <f>SUM(C29:C39)</f>
        <v>0</v>
      </c>
      <c r="D40" s="126"/>
      <c r="E40" s="87"/>
      <c r="F40" s="87">
        <f t="shared" ref="F40:AG40" si="7">SUM(F34:F39)</f>
        <v>0</v>
      </c>
      <c r="G40" s="87">
        <f t="shared" si="7"/>
        <v>0</v>
      </c>
      <c r="H40" s="87">
        <f t="shared" si="7"/>
        <v>0</v>
      </c>
      <c r="I40" s="87">
        <f t="shared" si="7"/>
        <v>0</v>
      </c>
      <c r="J40" s="87">
        <f t="shared" si="7"/>
        <v>0</v>
      </c>
      <c r="K40" s="87">
        <f t="shared" si="7"/>
        <v>0</v>
      </c>
      <c r="L40" s="87">
        <f t="shared" si="7"/>
        <v>0</v>
      </c>
      <c r="M40" s="87">
        <f t="shared" si="7"/>
        <v>0</v>
      </c>
      <c r="N40" s="87">
        <f t="shared" si="7"/>
        <v>0</v>
      </c>
      <c r="O40" s="87">
        <f t="shared" si="7"/>
        <v>0</v>
      </c>
      <c r="P40" s="87">
        <f t="shared" si="7"/>
        <v>0</v>
      </c>
      <c r="Q40" s="87">
        <f t="shared" si="7"/>
        <v>0</v>
      </c>
      <c r="R40" s="87">
        <f t="shared" si="7"/>
        <v>0</v>
      </c>
      <c r="S40" s="87">
        <f t="shared" si="7"/>
        <v>0</v>
      </c>
      <c r="T40" s="87">
        <f t="shared" si="7"/>
        <v>0</v>
      </c>
      <c r="U40" s="87">
        <f t="shared" si="7"/>
        <v>0</v>
      </c>
      <c r="V40" s="87">
        <f t="shared" si="7"/>
        <v>0</v>
      </c>
      <c r="W40" s="87">
        <f t="shared" si="7"/>
        <v>0</v>
      </c>
      <c r="X40" s="87">
        <f t="shared" si="7"/>
        <v>0</v>
      </c>
      <c r="Y40" s="87">
        <f t="shared" si="7"/>
        <v>0</v>
      </c>
      <c r="Z40" s="87">
        <f t="shared" si="7"/>
        <v>0</v>
      </c>
      <c r="AA40" s="87">
        <f t="shared" si="7"/>
        <v>0</v>
      </c>
      <c r="AB40" s="87">
        <f t="shared" si="7"/>
        <v>0</v>
      </c>
      <c r="AC40" s="87">
        <f t="shared" si="7"/>
        <v>0</v>
      </c>
      <c r="AD40" s="87">
        <f t="shared" si="7"/>
        <v>0</v>
      </c>
      <c r="AE40" s="87">
        <f t="shared" si="7"/>
        <v>0</v>
      </c>
      <c r="AF40" s="87">
        <f t="shared" si="7"/>
        <v>0</v>
      </c>
      <c r="AG40" s="87">
        <f t="shared" si="7"/>
        <v>0</v>
      </c>
      <c r="AH40" s="53"/>
      <c r="AI40" s="53"/>
      <c r="AJ40" s="53"/>
      <c r="AK40" s="53"/>
      <c r="AL40" s="53"/>
      <c r="AM40" s="53"/>
    </row>
    <row r="41">
      <c r="A41" s="58"/>
      <c r="B41" s="58"/>
      <c r="C41" s="58" t="s">
        <v>522</v>
      </c>
      <c r="E41" s="93"/>
      <c r="F41" s="127">
        <f>sum(F40)</f>
        <v>0</v>
      </c>
      <c r="G41" s="128">
        <f>sum(G40:I40)</f>
        <v>0</v>
      </c>
      <c r="I41" s="96"/>
      <c r="J41" s="129">
        <f>sum(J40:L40)</f>
        <v>0</v>
      </c>
      <c r="L41" s="96"/>
      <c r="M41" s="129">
        <f>sum(M40:O40)</f>
        <v>0</v>
      </c>
      <c r="O41" s="96"/>
      <c r="P41" s="129">
        <f>sum(P40:R40)</f>
        <v>0</v>
      </c>
      <c r="R41" s="96"/>
      <c r="S41" s="129">
        <f>sum(S40:U40)</f>
        <v>0</v>
      </c>
      <c r="U41" s="96"/>
      <c r="V41" s="129">
        <f>sum(V40:X40)</f>
        <v>0</v>
      </c>
      <c r="X41" s="96"/>
      <c r="Y41" s="129">
        <f>sum(Y40:AA40)</f>
        <v>0</v>
      </c>
      <c r="AA41" s="96"/>
      <c r="AB41" s="129">
        <f>sum(AB40:AD40)</f>
        <v>0</v>
      </c>
      <c r="AD41" s="96"/>
      <c r="AE41" s="129">
        <f>sum(AE40:AG40)</f>
        <v>0</v>
      </c>
      <c r="AG41" s="96"/>
      <c r="AH41" s="98"/>
      <c r="AI41" s="99"/>
      <c r="AJ41" s="99"/>
      <c r="AK41" s="99"/>
      <c r="AL41" s="99"/>
      <c r="AM41" s="99"/>
    </row>
    <row r="42">
      <c r="A42" s="58"/>
      <c r="B42" s="58"/>
      <c r="C42" s="58" t="s">
        <v>524</v>
      </c>
      <c r="E42" s="100"/>
      <c r="F42" s="111">
        <f>sum(F41:I41)</f>
        <v>0</v>
      </c>
      <c r="I42" s="102"/>
      <c r="J42" s="111">
        <f>sum(J41:U41)</f>
        <v>0</v>
      </c>
      <c r="U42" s="102"/>
      <c r="V42" s="111">
        <f>sum(V41:AG41)</f>
        <v>0</v>
      </c>
      <c r="AG42" s="102"/>
      <c r="AH42" s="103"/>
      <c r="AI42" s="104"/>
      <c r="AJ42" s="104"/>
      <c r="AK42" s="104"/>
      <c r="AL42" s="104"/>
      <c r="AM42" s="10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4"/>
      <c r="L43" s="54"/>
      <c r="M43" s="54"/>
      <c r="N43" s="54"/>
      <c r="O43" s="54"/>
      <c r="P43" s="54"/>
      <c r="Q43" s="55"/>
      <c r="R43" s="54"/>
      <c r="S43" s="54"/>
      <c r="T43" s="54"/>
      <c r="U43" s="54"/>
      <c r="V43" s="54"/>
      <c r="W43" s="55"/>
      <c r="X43" s="54"/>
      <c r="Y43" s="54"/>
      <c r="Z43" s="54"/>
      <c r="AA43" s="54"/>
      <c r="AB43" s="54"/>
      <c r="AC43" s="55"/>
      <c r="AD43" s="54"/>
      <c r="AE43" s="54"/>
      <c r="AF43" s="54"/>
      <c r="AG43" s="54"/>
      <c r="AH43" s="53"/>
      <c r="AI43" s="53"/>
      <c r="AJ43" s="53"/>
      <c r="AK43" s="53"/>
      <c r="AL43" s="53"/>
      <c r="AM43" s="53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4"/>
      <c r="L44" s="54"/>
      <c r="M44" s="54"/>
      <c r="N44" s="54"/>
      <c r="O44" s="54"/>
      <c r="P44" s="54"/>
      <c r="Q44" s="55"/>
      <c r="R44" s="54"/>
      <c r="S44" s="54"/>
      <c r="T44" s="54"/>
      <c r="U44" s="54"/>
      <c r="V44" s="54"/>
      <c r="W44" s="55"/>
      <c r="X44" s="54"/>
      <c r="Y44" s="54"/>
      <c r="Z44" s="54"/>
      <c r="AA44" s="54"/>
      <c r="AB44" s="54"/>
      <c r="AC44" s="55"/>
      <c r="AD44" s="54"/>
      <c r="AE44" s="54"/>
      <c r="AF44" s="54"/>
      <c r="AG44" s="54"/>
      <c r="AH44" s="53"/>
      <c r="AI44" s="53"/>
      <c r="AJ44" s="53"/>
      <c r="AK44" s="53"/>
      <c r="AL44" s="53"/>
      <c r="AM44" s="53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4"/>
      <c r="L45" s="54"/>
      <c r="M45" s="54"/>
      <c r="N45" s="54"/>
      <c r="O45" s="54"/>
      <c r="P45" s="54"/>
      <c r="Q45" s="55"/>
      <c r="R45" s="54"/>
      <c r="S45" s="54"/>
      <c r="T45" s="54"/>
      <c r="U45" s="54"/>
      <c r="V45" s="54"/>
      <c r="W45" s="55"/>
      <c r="X45" s="54"/>
      <c r="Y45" s="54"/>
      <c r="Z45" s="54"/>
      <c r="AA45" s="54"/>
      <c r="AB45" s="54"/>
      <c r="AC45" s="55"/>
      <c r="AD45" s="54"/>
      <c r="AE45" s="54"/>
      <c r="AF45" s="54"/>
      <c r="AG45" s="54"/>
      <c r="AH45" s="53"/>
      <c r="AI45" s="53"/>
      <c r="AJ45" s="53"/>
      <c r="AK45" s="53"/>
      <c r="AL45" s="53"/>
      <c r="AM45" s="5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1">
    <mergeCell ref="V41:X41"/>
    <mergeCell ref="Y41:AA41"/>
    <mergeCell ref="AB41:AD41"/>
    <mergeCell ref="AE41:AG41"/>
    <mergeCell ref="C42:D42"/>
    <mergeCell ref="F42:I42"/>
    <mergeCell ref="J42:U42"/>
    <mergeCell ref="V42:AG42"/>
    <mergeCell ref="C40:D40"/>
    <mergeCell ref="C41:D41"/>
    <mergeCell ref="G41:I41"/>
    <mergeCell ref="J41:L41"/>
    <mergeCell ref="M41:O41"/>
    <mergeCell ref="P41:R41"/>
    <mergeCell ref="S41:U41"/>
    <mergeCell ref="S22:U22"/>
    <mergeCell ref="V22:X22"/>
    <mergeCell ref="Y22:AA22"/>
    <mergeCell ref="AB22:AD22"/>
    <mergeCell ref="AE22:AG22"/>
    <mergeCell ref="B2:D2"/>
    <mergeCell ref="B4:D4"/>
    <mergeCell ref="C22:D22"/>
    <mergeCell ref="G22:I22"/>
    <mergeCell ref="J22:L22"/>
    <mergeCell ref="M22:O22"/>
    <mergeCell ref="P22:R22"/>
    <mergeCell ref="C23:D23"/>
    <mergeCell ref="F23:I23"/>
    <mergeCell ref="J23:U23"/>
    <mergeCell ref="V23:AG23"/>
    <mergeCell ref="B24:D24"/>
    <mergeCell ref="C25:D25"/>
    <mergeCell ref="C26:D26"/>
    <mergeCell ref="B28:D28"/>
    <mergeCell ref="C30:D30"/>
    <mergeCell ref="F30:I30"/>
    <mergeCell ref="J30:U30"/>
    <mergeCell ref="V30:AG30"/>
    <mergeCell ref="C31:D31"/>
    <mergeCell ref="G31:I31"/>
    <mergeCell ref="Z31:AB31"/>
    <mergeCell ref="S32:U32"/>
    <mergeCell ref="V32:X32"/>
    <mergeCell ref="Y32:AA32"/>
    <mergeCell ref="AB32:AD32"/>
    <mergeCell ref="AE32:AG32"/>
    <mergeCell ref="M31:P31"/>
    <mergeCell ref="T31:V31"/>
    <mergeCell ref="C32:D32"/>
    <mergeCell ref="G32:I32"/>
    <mergeCell ref="J32:L32"/>
    <mergeCell ref="M32:O32"/>
    <mergeCell ref="P32:R32"/>
    <mergeCell ref="C33:D33"/>
    <mergeCell ref="C34:D34"/>
    <mergeCell ref="C35:D35"/>
    <mergeCell ref="C36:D36"/>
    <mergeCell ref="C37:D37"/>
    <mergeCell ref="C38:D38"/>
    <mergeCell ref="C39:D3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2.63"/>
    <col customWidth="1" min="3" max="3" width="85.13"/>
    <col customWidth="1" min="4" max="4" width="2.5"/>
    <col customWidth="1" min="5" max="6" width="12.63"/>
  </cols>
  <sheetData>
    <row r="1" ht="15.75" customHeight="1">
      <c r="A1" s="54"/>
      <c r="B1" s="54"/>
      <c r="C1" s="54"/>
      <c r="D1" s="54"/>
    </row>
    <row r="2" ht="15.75" customHeight="1">
      <c r="A2" s="66"/>
      <c r="B2" s="104"/>
      <c r="C2" s="104"/>
      <c r="D2" s="54"/>
    </row>
    <row r="3" ht="15.75" customHeight="1">
      <c r="A3" s="66"/>
      <c r="B3" s="104"/>
      <c r="C3" s="104"/>
      <c r="D3" s="54"/>
    </row>
    <row r="4" ht="15.75" customHeight="1">
      <c r="A4" s="66"/>
      <c r="B4" s="130" t="s">
        <v>557</v>
      </c>
      <c r="D4" s="54"/>
    </row>
    <row r="5" ht="15.75" customHeight="1">
      <c r="A5" s="66"/>
      <c r="B5" s="66"/>
      <c r="C5" s="54"/>
      <c r="D5" s="54"/>
    </row>
    <row r="6" ht="15.75" customHeight="1">
      <c r="A6" s="66"/>
      <c r="B6" s="131" t="s">
        <v>558</v>
      </c>
      <c r="C6" s="132" t="s">
        <v>196</v>
      </c>
      <c r="D6" s="54"/>
    </row>
    <row r="7" ht="15.75" customHeight="1">
      <c r="A7" s="133"/>
      <c r="B7" s="134">
        <v>1.0</v>
      </c>
      <c r="C7" s="135" t="s">
        <v>559</v>
      </c>
      <c r="D7" s="54"/>
    </row>
    <row r="8" ht="15.75" customHeight="1">
      <c r="A8" s="133"/>
      <c r="B8" s="134">
        <v>2.0</v>
      </c>
      <c r="C8" s="72" t="s">
        <v>560</v>
      </c>
      <c r="D8" s="54"/>
    </row>
    <row r="9" ht="15.75" customHeight="1">
      <c r="A9" s="133"/>
      <c r="B9" s="134">
        <v>3.0</v>
      </c>
      <c r="C9" s="135" t="s">
        <v>561</v>
      </c>
      <c r="D9" s="54"/>
    </row>
    <row r="10" ht="15.75" customHeight="1">
      <c r="A10" s="133"/>
      <c r="B10" s="134">
        <v>5.0</v>
      </c>
      <c r="C10" s="135" t="s">
        <v>562</v>
      </c>
      <c r="D10" s="54"/>
    </row>
    <row r="11" ht="15.75" customHeight="1">
      <c r="A11" s="133"/>
      <c r="B11" s="134">
        <v>8.0</v>
      </c>
      <c r="C11" s="135" t="s">
        <v>563</v>
      </c>
      <c r="D11" s="54"/>
    </row>
    <row r="12" ht="15.75" customHeight="1">
      <c r="A12" s="133"/>
      <c r="B12" s="134">
        <v>13.0</v>
      </c>
      <c r="C12" s="135" t="s">
        <v>564</v>
      </c>
      <c r="D12" s="54"/>
    </row>
    <row r="13" ht="15.75" customHeight="1">
      <c r="A13" s="133"/>
      <c r="B13" s="134">
        <v>20.0</v>
      </c>
      <c r="C13" s="135" t="s">
        <v>565</v>
      </c>
      <c r="D13" s="54"/>
    </row>
    <row r="14" ht="15.75" customHeight="1">
      <c r="A14" s="133"/>
      <c r="B14" s="134">
        <v>40.0</v>
      </c>
      <c r="C14" s="135" t="s">
        <v>566</v>
      </c>
      <c r="D14" s="54"/>
    </row>
    <row r="15" ht="15.75" customHeight="1">
      <c r="A15" s="133"/>
      <c r="B15" s="134">
        <v>100.0</v>
      </c>
      <c r="C15" s="135" t="s">
        <v>567</v>
      </c>
      <c r="D15" s="54"/>
    </row>
    <row r="16" ht="15.75" customHeight="1">
      <c r="A16" s="54"/>
      <c r="B16" s="54"/>
      <c r="C16" s="54"/>
      <c r="D16" s="5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C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4" max="4" width="14.13"/>
    <col customWidth="1" min="5" max="5" width="17.5"/>
    <col customWidth="1" min="6" max="6" width="17.63"/>
  </cols>
  <sheetData>
    <row r="3">
      <c r="A3" s="136"/>
      <c r="B3" s="137" t="s">
        <v>568</v>
      </c>
      <c r="C3" s="137" t="s">
        <v>569</v>
      </c>
      <c r="D3" s="137" t="s">
        <v>570</v>
      </c>
      <c r="F3" s="138"/>
      <c r="G3" s="139" t="s">
        <v>568</v>
      </c>
      <c r="H3" s="139" t="s">
        <v>569</v>
      </c>
      <c r="I3" s="139" t="s">
        <v>570</v>
      </c>
    </row>
    <row r="4">
      <c r="A4" s="140" t="s">
        <v>571</v>
      </c>
      <c r="B4" s="141">
        <v>10.0</v>
      </c>
      <c r="C4" s="141">
        <v>15.0</v>
      </c>
      <c r="D4" s="141">
        <v>20.0</v>
      </c>
      <c r="F4" s="139" t="s">
        <v>571</v>
      </c>
      <c r="G4" s="139">
        <v>10.0</v>
      </c>
      <c r="H4" s="139">
        <v>11.0</v>
      </c>
      <c r="I4" s="139">
        <v>12.0</v>
      </c>
    </row>
    <row r="5">
      <c r="A5" s="140" t="s">
        <v>572</v>
      </c>
      <c r="B5" s="142">
        <f t="shared" ref="B5:D5" si="1">B11*B4</f>
        <v>300</v>
      </c>
      <c r="C5" s="142">
        <f t="shared" si="1"/>
        <v>675</v>
      </c>
      <c r="D5" s="142">
        <f t="shared" si="1"/>
        <v>1300</v>
      </c>
      <c r="F5" s="139" t="s">
        <v>572</v>
      </c>
      <c r="G5" s="138">
        <f t="shared" ref="G5:I5" si="2">G11*G4</f>
        <v>300</v>
      </c>
      <c r="H5" s="138">
        <f t="shared" si="2"/>
        <v>385</v>
      </c>
      <c r="I5" s="138">
        <f t="shared" si="2"/>
        <v>480</v>
      </c>
    </row>
    <row r="6">
      <c r="A6" s="140" t="s">
        <v>573</v>
      </c>
      <c r="B6" s="143">
        <v>20000.0</v>
      </c>
      <c r="C6" s="143">
        <v>21000.0</v>
      </c>
      <c r="D6" s="143">
        <v>22000.0</v>
      </c>
      <c r="F6" s="139" t="s">
        <v>573</v>
      </c>
      <c r="G6" s="139">
        <v>20000.0</v>
      </c>
      <c r="H6" s="139">
        <v>21000.0</v>
      </c>
      <c r="I6" s="139">
        <v>22000.0</v>
      </c>
    </row>
    <row r="7">
      <c r="A7" s="140" t="s">
        <v>574</v>
      </c>
      <c r="B7" s="144">
        <f t="shared" ref="B7:D7" si="3">B6*B5</f>
        <v>6000000</v>
      </c>
      <c r="C7" s="144">
        <f t="shared" si="3"/>
        <v>14175000</v>
      </c>
      <c r="D7" s="144">
        <f t="shared" si="3"/>
        <v>28600000</v>
      </c>
      <c r="F7" s="139" t="s">
        <v>574</v>
      </c>
      <c r="G7" s="145">
        <f t="shared" ref="G7:I7" si="4">G6*G5</f>
        <v>6000000</v>
      </c>
      <c r="H7" s="145">
        <f t="shared" si="4"/>
        <v>8085000</v>
      </c>
      <c r="I7" s="145">
        <f t="shared" si="4"/>
        <v>10560000</v>
      </c>
    </row>
    <row r="8">
      <c r="A8" s="140" t="s">
        <v>575</v>
      </c>
      <c r="B8" s="142">
        <f>0.2</f>
        <v>0.2</v>
      </c>
      <c r="C8" s="143">
        <v>0.21</v>
      </c>
      <c r="D8" s="143">
        <v>0.22</v>
      </c>
      <c r="F8" s="139" t="s">
        <v>575</v>
      </c>
      <c r="G8" s="138">
        <f>0.2</f>
        <v>0.2</v>
      </c>
      <c r="H8" s="139">
        <v>0.21</v>
      </c>
      <c r="I8" s="139">
        <v>0.22</v>
      </c>
    </row>
    <row r="9">
      <c r="A9" s="140" t="s">
        <v>576</v>
      </c>
      <c r="B9" s="146">
        <f t="shared" ref="B9:D9" si="5">B8*B6*B5</f>
        <v>1200000</v>
      </c>
      <c r="C9" s="146">
        <f t="shared" si="5"/>
        <v>2976750</v>
      </c>
      <c r="D9" s="146">
        <f t="shared" si="5"/>
        <v>6292000</v>
      </c>
      <c r="F9" s="139" t="s">
        <v>576</v>
      </c>
      <c r="G9" s="147">
        <f t="shared" ref="G9:I9" si="6">G8*G6*G5</f>
        <v>1200000</v>
      </c>
      <c r="H9" s="147">
        <f t="shared" si="6"/>
        <v>1697850</v>
      </c>
      <c r="I9" s="147">
        <f t="shared" si="6"/>
        <v>2323200</v>
      </c>
    </row>
    <row r="10">
      <c r="A10" s="136"/>
      <c r="B10" s="142"/>
      <c r="C10" s="142"/>
      <c r="D10" s="142"/>
      <c r="F10" s="138"/>
      <c r="G10" s="138"/>
      <c r="H10" s="138"/>
      <c r="I10" s="138"/>
    </row>
    <row r="11">
      <c r="A11" s="140" t="s">
        <v>577</v>
      </c>
      <c r="B11" s="141">
        <v>30.0</v>
      </c>
      <c r="C11" s="141">
        <v>45.0</v>
      </c>
      <c r="D11" s="141">
        <v>65.0</v>
      </c>
      <c r="F11" s="139" t="s">
        <v>577</v>
      </c>
      <c r="G11" s="139">
        <v>30.0</v>
      </c>
      <c r="H11" s="139">
        <v>35.0</v>
      </c>
      <c r="I11" s="139">
        <v>40.0</v>
      </c>
    </row>
    <row r="12">
      <c r="A12" s="140" t="s">
        <v>578</v>
      </c>
      <c r="B12" s="146">
        <f t="shared" ref="B12:D12" si="7">B9*0.1</f>
        <v>120000</v>
      </c>
      <c r="C12" s="146">
        <f t="shared" si="7"/>
        <v>297675</v>
      </c>
      <c r="D12" s="146">
        <f t="shared" si="7"/>
        <v>629200</v>
      </c>
      <c r="F12" s="139" t="s">
        <v>578</v>
      </c>
      <c r="G12" s="147">
        <f t="shared" ref="G12:I12" si="8">G9*0.1</f>
        <v>120000</v>
      </c>
      <c r="H12" s="147">
        <f t="shared" si="8"/>
        <v>169785</v>
      </c>
      <c r="I12" s="147">
        <f t="shared" si="8"/>
        <v>232320</v>
      </c>
    </row>
    <row r="13">
      <c r="A13" s="140" t="s">
        <v>579</v>
      </c>
      <c r="B13" s="144">
        <f>30*60000</f>
        <v>1800000</v>
      </c>
      <c r="C13" s="144">
        <f t="shared" ref="C13:D13" si="9">B13*1.1</f>
        <v>1980000</v>
      </c>
      <c r="D13" s="144">
        <f t="shared" si="9"/>
        <v>2178000</v>
      </c>
      <c r="F13" s="139" t="s">
        <v>579</v>
      </c>
      <c r="G13" s="145">
        <f>30*60000</f>
        <v>1800000</v>
      </c>
      <c r="H13" s="145">
        <f t="shared" ref="H13:I13" si="10">G13*1.1</f>
        <v>1980000</v>
      </c>
      <c r="I13" s="145">
        <f t="shared" si="10"/>
        <v>2178000</v>
      </c>
    </row>
    <row r="14">
      <c r="A14" s="136"/>
      <c r="B14" s="142"/>
      <c r="C14" s="142"/>
      <c r="D14" s="142"/>
      <c r="F14" s="138"/>
      <c r="G14" s="138"/>
      <c r="H14" s="138"/>
      <c r="I14" s="138"/>
    </row>
    <row r="15">
      <c r="A15" s="140" t="s">
        <v>580</v>
      </c>
      <c r="B15" s="148">
        <v>300000.0</v>
      </c>
      <c r="C15" s="148">
        <v>100000.0</v>
      </c>
      <c r="D15" s="148">
        <v>10000.0</v>
      </c>
      <c r="F15" s="139" t="s">
        <v>580</v>
      </c>
      <c r="G15" s="149"/>
      <c r="H15" s="149"/>
      <c r="I15" s="149"/>
    </row>
    <row r="16">
      <c r="A16" s="136"/>
      <c r="B16" s="142"/>
      <c r="C16" s="142"/>
      <c r="D16" s="142"/>
      <c r="F16" s="138"/>
      <c r="G16" s="138"/>
      <c r="H16" s="138"/>
      <c r="I16" s="138"/>
    </row>
    <row r="17">
      <c r="A17" s="140" t="s">
        <v>581</v>
      </c>
      <c r="B17" s="146">
        <f t="shared" ref="B17:D17" si="11">B9-B12-B13-B15</f>
        <v>-1020000</v>
      </c>
      <c r="C17" s="146">
        <f t="shared" si="11"/>
        <v>599075</v>
      </c>
      <c r="D17" s="146">
        <f t="shared" si="11"/>
        <v>3474800</v>
      </c>
      <c r="F17" s="139" t="s">
        <v>582</v>
      </c>
      <c r="G17" s="147">
        <f t="shared" ref="G17:I17" si="12">G9-G12-G13-G15</f>
        <v>-720000</v>
      </c>
      <c r="H17" s="147">
        <f t="shared" si="12"/>
        <v>-451935</v>
      </c>
      <c r="I17" s="147">
        <f t="shared" si="12"/>
        <v>-87120</v>
      </c>
    </row>
    <row r="20">
      <c r="A20" s="138"/>
      <c r="B20" s="150" t="s">
        <v>568</v>
      </c>
      <c r="C20" s="150" t="s">
        <v>569</v>
      </c>
      <c r="D20" s="150" t="s">
        <v>570</v>
      </c>
      <c r="E20" s="150" t="s">
        <v>583</v>
      </c>
    </row>
    <row r="21">
      <c r="A21" s="151" t="s">
        <v>581</v>
      </c>
      <c r="B21" s="152">
        <v>-1020000.0</v>
      </c>
      <c r="C21" s="152">
        <v>599074.9999999998</v>
      </c>
      <c r="D21" s="152">
        <v>3474799.9999999995</v>
      </c>
      <c r="E21" s="153">
        <f t="shared" ref="E21:E23" si="13">SUM(B21:D21)</f>
        <v>3053875</v>
      </c>
    </row>
    <row r="22">
      <c r="A22" s="151" t="s">
        <v>582</v>
      </c>
      <c r="B22" s="152">
        <v>-720000.0</v>
      </c>
      <c r="C22" s="152">
        <v>-451935.00000000023</v>
      </c>
      <c r="D22" s="152">
        <v>-87120.00000000047</v>
      </c>
      <c r="E22" s="153">
        <f t="shared" si="13"/>
        <v>-1259055</v>
      </c>
    </row>
    <row r="23">
      <c r="A23" s="138"/>
      <c r="B23" s="154">
        <f t="shared" ref="B23:D23" si="14">B21-B22</f>
        <v>-300000</v>
      </c>
      <c r="C23" s="154">
        <f t="shared" si="14"/>
        <v>1051010</v>
      </c>
      <c r="D23" s="154">
        <f t="shared" si="14"/>
        <v>3561920</v>
      </c>
      <c r="E23" s="155">
        <f t="shared" si="13"/>
        <v>4312930</v>
      </c>
    </row>
  </sheetData>
  <drawing r:id="rId1"/>
</worksheet>
</file>